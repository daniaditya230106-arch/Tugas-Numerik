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BE528F83-C2EA-4F49-AF02-B0E138DE63A1}" xr6:coauthVersionLast="45" xr6:coauthVersionMax="45" xr10:uidLastSave="{00000000-0000-0000-0000-000000000000}"/>
  <bookViews>
    <workbookView xWindow="-120" yWindow="-120" windowWidth="29040" windowHeight="15720" xr2:uid="{8D44D231-6307-4CF3-8814-FFC899B70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6" i="1" l="1"/>
  <c r="X17" i="1" s="1"/>
  <c r="Y16" i="1"/>
  <c r="Y17" i="1" s="1"/>
  <c r="Z16" i="1"/>
  <c r="AA16" i="1"/>
  <c r="AB16" i="1"/>
  <c r="AC16" i="1"/>
  <c r="AB15" i="1"/>
  <c r="AC15" i="1"/>
  <c r="AA15" i="1"/>
  <c r="Z15" i="1"/>
  <c r="Y15" i="1"/>
  <c r="X15" i="1"/>
  <c r="M19" i="1"/>
  <c r="M16" i="1"/>
  <c r="R15" i="1"/>
  <c r="S15" i="1"/>
  <c r="T15" i="1"/>
  <c r="Q15" i="1"/>
  <c r="P15" i="1"/>
  <c r="O15" i="1"/>
  <c r="N15" i="1"/>
  <c r="M15" i="1"/>
  <c r="C25" i="1"/>
  <c r="G25" i="1" s="1"/>
  <c r="D25" i="1"/>
  <c r="H25" i="1" s="1"/>
  <c r="E25" i="1"/>
  <c r="F25" i="1"/>
  <c r="I25" i="1"/>
  <c r="J25" i="1"/>
  <c r="C21" i="1"/>
  <c r="D22" i="1" s="1"/>
  <c r="D21" i="1"/>
  <c r="F22" i="1" s="1"/>
  <c r="J22" i="1" s="1"/>
  <c r="E21" i="1"/>
  <c r="F21" i="1"/>
  <c r="H21" i="1"/>
  <c r="I21" i="1"/>
  <c r="J21" i="1"/>
  <c r="C22" i="1"/>
  <c r="C16" i="1"/>
  <c r="E17" i="1" s="1"/>
  <c r="I17" i="1" s="1"/>
  <c r="D16" i="1"/>
  <c r="H16" i="1" s="1"/>
  <c r="E16" i="1"/>
  <c r="F16" i="1"/>
  <c r="I16" i="1"/>
  <c r="J16" i="1"/>
  <c r="H15" i="1"/>
  <c r="I15" i="1"/>
  <c r="J15" i="1"/>
  <c r="G15" i="1"/>
  <c r="F15" i="1"/>
  <c r="E15" i="1"/>
  <c r="D15" i="1"/>
  <c r="C15" i="1"/>
  <c r="Z17" i="1" l="1"/>
  <c r="AB17" i="1"/>
  <c r="Y18" i="1"/>
  <c r="AA17" i="1"/>
  <c r="X18" i="1"/>
  <c r="N19" i="1"/>
  <c r="Q19" i="1"/>
  <c r="N16" i="1"/>
  <c r="O16" i="1" s="1"/>
  <c r="S16" i="1" s="1"/>
  <c r="Q16" i="1"/>
  <c r="H22" i="1"/>
  <c r="G22" i="1"/>
  <c r="G21" i="1"/>
  <c r="E23" i="1"/>
  <c r="E22" i="1"/>
  <c r="I22" i="1" s="1"/>
  <c r="D17" i="1"/>
  <c r="F17" i="1"/>
  <c r="J17" i="1" s="1"/>
  <c r="C17" i="1"/>
  <c r="G16" i="1"/>
  <c r="Z18" i="1" l="1"/>
  <c r="AC17" i="1"/>
  <c r="AA18" i="1"/>
  <c r="X19" i="1"/>
  <c r="AB18" i="1"/>
  <c r="Y19" i="1"/>
  <c r="R19" i="1"/>
  <c r="O19" i="1"/>
  <c r="S19" i="1" s="1"/>
  <c r="P16" i="1"/>
  <c r="T16" i="1" s="1"/>
  <c r="R16" i="1"/>
  <c r="M17" i="1"/>
  <c r="I23" i="1"/>
  <c r="D23" i="1"/>
  <c r="F23" i="1"/>
  <c r="J23" i="1" s="1"/>
  <c r="C23" i="1"/>
  <c r="E18" i="1"/>
  <c r="I18" i="1" s="1"/>
  <c r="G17" i="1"/>
  <c r="D18" i="1"/>
  <c r="F18" i="1"/>
  <c r="J18" i="1" s="1"/>
  <c r="C18" i="1"/>
  <c r="H17" i="1"/>
  <c r="AB19" i="1" l="1"/>
  <c r="X20" i="1"/>
  <c r="AA19" i="1"/>
  <c r="AC18" i="1"/>
  <c r="Z19" i="1"/>
  <c r="P19" i="1"/>
  <c r="T19" i="1" s="1"/>
  <c r="Q17" i="1"/>
  <c r="N17" i="1"/>
  <c r="D24" i="1"/>
  <c r="H24" i="1" s="1"/>
  <c r="E24" i="1"/>
  <c r="I24" i="1" s="1"/>
  <c r="G23" i="1"/>
  <c r="H23" i="1"/>
  <c r="C24" i="1"/>
  <c r="G24" i="1" s="1"/>
  <c r="F24" i="1"/>
  <c r="J24" i="1" s="1"/>
  <c r="F19" i="1"/>
  <c r="J19" i="1" s="1"/>
  <c r="H18" i="1"/>
  <c r="C19" i="1"/>
  <c r="E19" i="1"/>
  <c r="I19" i="1" s="1"/>
  <c r="G18" i="1"/>
  <c r="D19" i="1"/>
  <c r="AC19" i="1" l="1"/>
  <c r="AA20" i="1"/>
  <c r="Y20" i="1"/>
  <c r="R17" i="1"/>
  <c r="O17" i="1"/>
  <c r="S17" i="1" s="1"/>
  <c r="F20" i="1"/>
  <c r="J20" i="1" s="1"/>
  <c r="H19" i="1"/>
  <c r="C20" i="1"/>
  <c r="G20" i="1" s="1"/>
  <c r="E20" i="1"/>
  <c r="I20" i="1" s="1"/>
  <c r="G19" i="1"/>
  <c r="D20" i="1"/>
  <c r="H20" i="1" s="1"/>
  <c r="AB20" i="1" l="1"/>
  <c r="X21" i="1"/>
  <c r="Z20" i="1"/>
  <c r="M18" i="1"/>
  <c r="P17" i="1"/>
  <c r="T17" i="1" s="1"/>
  <c r="AA21" i="1" l="1"/>
  <c r="AC20" i="1"/>
  <c r="Y21" i="1"/>
  <c r="Q18" i="1"/>
  <c r="N18" i="1"/>
  <c r="AB21" i="1" l="1"/>
  <c r="Z21" i="1"/>
  <c r="X22" i="1"/>
  <c r="R18" i="1"/>
  <c r="O18" i="1"/>
  <c r="S18" i="1" s="1"/>
  <c r="AA22" i="1" l="1"/>
  <c r="AC21" i="1"/>
  <c r="Y22" i="1"/>
  <c r="P18" i="1"/>
  <c r="T18" i="1" s="1"/>
  <c r="AB22" i="1" l="1"/>
  <c r="Z22" i="1"/>
  <c r="X23" i="1"/>
  <c r="AA23" i="1" l="1"/>
  <c r="Y23" i="1"/>
  <c r="AC22" i="1"/>
  <c r="Z23" i="1"/>
  <c r="AC23" i="1" l="1"/>
  <c r="AB23" i="1"/>
  <c r="X24" i="1"/>
  <c r="AA24" i="1" s="1"/>
  <c r="Y24" i="1" l="1"/>
  <c r="AB24" i="1" l="1"/>
  <c r="Z24" i="1"/>
  <c r="AC24" i="1" s="1"/>
</calcChain>
</file>

<file path=xl/sharedStrings.xml><?xml version="1.0" encoding="utf-8"?>
<sst xmlns="http://schemas.openxmlformats.org/spreadsheetml/2006/main" count="50" uniqueCount="27">
  <si>
    <t>SISTEM PERSAMAAN LINIER</t>
  </si>
  <si>
    <t>Metoide Jacobi</t>
  </si>
  <si>
    <t>Iterasi</t>
  </si>
  <si>
    <t>10x1-x2+2x3  =6</t>
  </si>
  <si>
    <t>2x1-x2+10x3-x4  =-11</t>
  </si>
  <si>
    <t>3x2-x3+8x4  =15</t>
  </si>
  <si>
    <t>→</t>
  </si>
  <si>
    <t>x1 + 11x2-x3+3x4  =25</t>
  </si>
  <si>
    <t>x1 = (6 + x2 - 2x3)/10</t>
  </si>
  <si>
    <t>x3 = (-11 - 2x1 + x2 + x4)/10</t>
  </si>
  <si>
    <t>x4 = (15 - 3x2 + x3)/8</t>
  </si>
  <si>
    <t>Solusi</t>
  </si>
  <si>
    <t>X1</t>
  </si>
  <si>
    <t>x2</t>
  </si>
  <si>
    <t xml:space="preserve">x3 </t>
  </si>
  <si>
    <t>x4</t>
  </si>
  <si>
    <t>x2 = (25 + x1 + x3 - 3x4)/11</t>
  </si>
  <si>
    <t>Galat</t>
  </si>
  <si>
    <t>x1</t>
  </si>
  <si>
    <t>x3</t>
  </si>
  <si>
    <t>Metoide Gauss Seidel</t>
  </si>
  <si>
    <t>Metoide SOR(Successive Over Relaxation)</t>
  </si>
  <si>
    <t>X0</t>
  </si>
  <si>
    <t>ω</t>
  </si>
  <si>
    <t>4x1 + 3x2  =24</t>
  </si>
  <si>
    <t>3x1+4x2-x3  =30</t>
  </si>
  <si>
    <t>x2+4x3 = 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</si>
</sst>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2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9" fontId="3" fillId="4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3" fillId="2" borderId="1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3" fillId="5" borderId="0" xfId="0" applyFont="1" applyFill="1" applyBorder="1" applyAlignment="1"/>
    <xf numFmtId="0" fontId="3" fillId="5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3" borderId="3" xfId="0" applyFont="1" applyFill="1" applyBorder="1" applyAlignment="1">
      <alignment horizontal="center"/>
    </xf>
    <xf numFmtId="9" fontId="3" fillId="4" borderId="2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Jacobi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Sheet1!$C$12:$C$13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Sheet1!$B$14:$B$25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Sheet1!$C$14:$C$25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1.0472727272727274</c:v>
                </c:pt>
                <c:pt idx="3">
                  <c:v>0.9326363636363636</c:v>
                </c:pt>
                <c:pt idx="4">
                  <c:v>1.0151987603305785</c:v>
                </c:pt>
                <c:pt idx="5">
                  <c:v>0.98899130165289262</c:v>
                </c:pt>
                <c:pt idx="6">
                  <c:v>1.003198653362134</c:v>
                </c:pt>
                <c:pt idx="7">
                  <c:v>0.99812847341754318</c:v>
                </c:pt>
                <c:pt idx="8">
                  <c:v>1.0006251342791859</c:v>
                </c:pt>
                <c:pt idx="9">
                  <c:v>0.99967414521487064</c:v>
                </c:pt>
                <c:pt idx="10">
                  <c:v>1.0001185986914152</c:v>
                </c:pt>
                <c:pt idx="11">
                  <c:v>0.99994242327589888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58-44E5-9700-B52791C6CFFC}"/>
            </c:ext>
          </c:extLst>
        </c:ser>
        <c:ser>
          <c:idx val="1"/>
          <c:order val="1"/>
          <c:tx>
            <c:strRef>
              <c:f>Sheet1!$D$12:$D$13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Sheet1!$B$14:$B$25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Sheet1!$D$14:$D$25</c:f>
              <c:numCache>
                <c:formatCode>General</c:formatCode>
                <c:ptCount val="12"/>
                <c:pt idx="0">
                  <c:v>0</c:v>
                </c:pt>
                <c:pt idx="1">
                  <c:v>2.2727272727272729</c:v>
                </c:pt>
                <c:pt idx="2">
                  <c:v>1.7159090909090908</c:v>
                </c:pt>
                <c:pt idx="3">
                  <c:v>2.0533057851239671</c:v>
                </c:pt>
                <c:pt idx="4">
                  <c:v>1.9536957644628101</c:v>
                </c:pt>
                <c:pt idx="5">
                  <c:v>2.0114147257700976</c:v>
                </c:pt>
                <c:pt idx="6">
                  <c:v>1.9922412606827571</c:v>
                </c:pt>
                <c:pt idx="7">
                  <c:v>2.0023068815526606</c:v>
                </c:pt>
                <c:pt idx="8">
                  <c:v>1.9986703011223563</c:v>
                </c:pt>
                <c:pt idx="9">
                  <c:v>2.0004476715450092</c:v>
                </c:pt>
                <c:pt idx="10">
                  <c:v>1.9997679470100358</c:v>
                </c:pt>
                <c:pt idx="11">
                  <c:v>2.0000847745851624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58-44E5-9700-B52791C6CFFC}"/>
            </c:ext>
          </c:extLst>
        </c:ser>
        <c:ser>
          <c:idx val="2"/>
          <c:order val="2"/>
          <c:tx>
            <c:strRef>
              <c:f>Sheet1!$E$12:$E$13</c:f>
              <c:strCache>
                <c:ptCount val="2"/>
                <c:pt idx="0">
                  <c:v>Solusi</c:v>
                </c:pt>
                <c:pt idx="1">
                  <c:v>x3 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Sheet1!$B$14:$B$25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Sheet1!$E$14:$E$25</c:f>
              <c:numCache>
                <c:formatCode>General</c:formatCode>
                <c:ptCount val="12"/>
                <c:pt idx="0">
                  <c:v>0</c:v>
                </c:pt>
                <c:pt idx="1">
                  <c:v>-1.1000000000000001</c:v>
                </c:pt>
                <c:pt idx="2">
                  <c:v>-0.80522727272727257</c:v>
                </c:pt>
                <c:pt idx="3">
                  <c:v>-1.0493409090909092</c:v>
                </c:pt>
                <c:pt idx="4">
                  <c:v>-0.9681086260330577</c:v>
                </c:pt>
                <c:pt idx="5">
                  <c:v>-1.0102859039256198</c:v>
                </c:pt>
                <c:pt idx="6">
                  <c:v>-0.99452173674633748</c:v>
                </c:pt>
                <c:pt idx="7">
                  <c:v>-1.0019722306195997</c:v>
                </c:pt>
                <c:pt idx="8">
                  <c:v>-0.99903557551317501</c:v>
                </c:pt>
                <c:pt idx="9">
                  <c:v>-1.0003691576845715</c:v>
                </c:pt>
                <c:pt idx="10">
                  <c:v>-0.9998281428744763</c:v>
                </c:pt>
                <c:pt idx="11">
                  <c:v>-1.0000683271912745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58-44E5-9700-B52791C6CFFC}"/>
            </c:ext>
          </c:extLst>
        </c:ser>
        <c:ser>
          <c:idx val="3"/>
          <c:order val="3"/>
          <c:tx>
            <c:strRef>
              <c:f>Sheet1!$F$12:$F$13</c:f>
              <c:strCache>
                <c:ptCount val="2"/>
                <c:pt idx="0">
                  <c:v>Solusi</c:v>
                </c:pt>
                <c:pt idx="1">
                  <c:v>x4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Sheet1!$B$14:$B$25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Sheet1!$F$14:$F$25</c:f>
              <c:numCache>
                <c:formatCode>General</c:formatCode>
                <c:ptCount val="12"/>
                <c:pt idx="0">
                  <c:v>0</c:v>
                </c:pt>
                <c:pt idx="1">
                  <c:v>1.875</c:v>
                </c:pt>
                <c:pt idx="2">
                  <c:v>0.88522727272727275</c:v>
                </c:pt>
                <c:pt idx="3">
                  <c:v>1.1308806818181818</c:v>
                </c:pt>
                <c:pt idx="4">
                  <c:v>0.97384271694214875</c:v>
                </c:pt>
                <c:pt idx="5">
                  <c:v>1.0213505100723141</c:v>
                </c:pt>
                <c:pt idx="6">
                  <c:v>0.99443373984551098</c:v>
                </c:pt>
                <c:pt idx="7">
                  <c:v>1.0035943101506739</c:v>
                </c:pt>
                <c:pt idx="8">
                  <c:v>0.99888839059030232</c:v>
                </c:pt>
                <c:pt idx="9">
                  <c:v>1.0006191901399695</c:v>
                </c:pt>
                <c:pt idx="10">
                  <c:v>0.99978597846005013</c:v>
                </c:pt>
                <c:pt idx="11">
                  <c:v>1.0001085020119271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958-44E5-9700-B52791C6C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953088"/>
        <c:axId val="1336420800"/>
      </c:scatterChart>
      <c:valAx>
        <c:axId val="135795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20800"/>
        <c:crosses val="autoZero"/>
        <c:crossBetween val="midCat"/>
      </c:valAx>
      <c:valAx>
        <c:axId val="13364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953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Gauss Seidel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Sheet1!$M$12:$M$13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Sheet1!$L$14:$L$19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Sheet1!$M$14:$M$19</c:f>
              <c:numCache>
                <c:formatCode>General</c:formatCode>
                <c:ptCount val="6"/>
                <c:pt idx="0">
                  <c:v>0</c:v>
                </c:pt>
                <c:pt idx="1">
                  <c:v>0.6</c:v>
                </c:pt>
                <c:pt idx="2">
                  <c:v>1.0301818181818183</c:v>
                </c:pt>
                <c:pt idx="3">
                  <c:v>1.0065850413223141</c:v>
                </c:pt>
                <c:pt idx="4">
                  <c:v>1.0008609786250939</c:v>
                </c:pt>
                <c:pt idx="5">
                  <c:v>1.0000912802859949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91-44CE-8B1F-26F431D3C8DD}"/>
            </c:ext>
          </c:extLst>
        </c:ser>
        <c:ser>
          <c:idx val="1"/>
          <c:order val="1"/>
          <c:tx>
            <c:strRef>
              <c:f>Sheet1!$N$12:$N$13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Sheet1!$L$14:$L$19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Sheet1!$N$14:$N$19</c:f>
              <c:numCache>
                <c:formatCode>General</c:formatCode>
                <c:ptCount val="6"/>
                <c:pt idx="0">
                  <c:v>0</c:v>
                </c:pt>
                <c:pt idx="1">
                  <c:v>2.3272727272727276</c:v>
                </c:pt>
                <c:pt idx="2">
                  <c:v>2.0369380165289255</c:v>
                </c:pt>
                <c:pt idx="3">
                  <c:v>2.003555016904583</c:v>
                </c:pt>
                <c:pt idx="4">
                  <c:v>2.000298250656547</c:v>
                </c:pt>
                <c:pt idx="5">
                  <c:v>2.000021342246459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91-44CE-8B1F-26F431D3C8DD}"/>
            </c:ext>
          </c:extLst>
        </c:ser>
        <c:ser>
          <c:idx val="2"/>
          <c:order val="2"/>
          <c:tx>
            <c:strRef>
              <c:f>Sheet1!$O$12:$O$13</c:f>
              <c:strCache>
                <c:ptCount val="2"/>
                <c:pt idx="0">
                  <c:v>Solusi</c:v>
                </c:pt>
                <c:pt idx="1">
                  <c:v>x3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Sheet1!$L$14:$L$19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Sheet1!$O$14:$O$19</c:f>
              <c:numCache>
                <c:formatCode>General</c:formatCode>
                <c:ptCount val="6"/>
                <c:pt idx="0">
                  <c:v>0</c:v>
                </c:pt>
                <c:pt idx="1">
                  <c:v>-0.98727272727272708</c:v>
                </c:pt>
                <c:pt idx="2">
                  <c:v>-1.0144561983471074</c:v>
                </c:pt>
                <c:pt idx="3">
                  <c:v>-1.0025273846731779</c:v>
                </c:pt>
                <c:pt idx="4">
                  <c:v>-1.0003072761017007</c:v>
                </c:pt>
                <c:pt idx="5">
                  <c:v>-1.0000311471834449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91-44CE-8B1F-26F431D3C8DD}"/>
            </c:ext>
          </c:extLst>
        </c:ser>
        <c:ser>
          <c:idx val="3"/>
          <c:order val="3"/>
          <c:tx>
            <c:strRef>
              <c:f>Sheet1!$P$12:$P$13</c:f>
              <c:strCache>
                <c:ptCount val="2"/>
                <c:pt idx="0">
                  <c:v>Solusi</c:v>
                </c:pt>
                <c:pt idx="1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Sheet1!$L$14:$L$19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Sheet1!$P$14:$P$19</c:f>
              <c:numCache>
                <c:formatCode>General</c:formatCode>
                <c:ptCount val="6"/>
                <c:pt idx="0">
                  <c:v>0</c:v>
                </c:pt>
                <c:pt idx="1">
                  <c:v>0.87886363636363629</c:v>
                </c:pt>
                <c:pt idx="2">
                  <c:v>0.98434121900826443</c:v>
                </c:pt>
                <c:pt idx="3">
                  <c:v>0.99835094557663417</c:v>
                </c:pt>
                <c:pt idx="4">
                  <c:v>0.99984974649108227</c:v>
                </c:pt>
                <c:pt idx="5">
                  <c:v>0.99998810325964727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F91-44CE-8B1F-26F431D3C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202576"/>
        <c:axId val="1331513440"/>
      </c:scatterChart>
      <c:valAx>
        <c:axId val="113320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13440"/>
        <c:crosses val="autoZero"/>
        <c:crossBetween val="midCat"/>
      </c:valAx>
      <c:valAx>
        <c:axId val="13315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0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Metode</a:t>
            </a:r>
            <a:r>
              <a:rPr lang="en-US" baseline="0"/>
              <a:t> SOR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Sheet1!$W$12:$W$13</c:f>
              <c:strCache>
                <c:ptCount val="2"/>
                <c:pt idx="0">
                  <c:v>Solusi</c:v>
                </c:pt>
                <c:pt idx="1">
                  <c:v>X0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Sheet1!$V$14:$V$24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xVal>
          <c:yVal>
            <c:numRef>
              <c:f>Sheet1!$W$14:$W$24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6A-4251-B302-D583273FFB08}"/>
            </c:ext>
          </c:extLst>
        </c:ser>
        <c:ser>
          <c:idx val="1"/>
          <c:order val="1"/>
          <c:tx>
            <c:strRef>
              <c:f>Sheet1!$X$12:$X$13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Sheet1!$V$14:$V$24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xVal>
          <c:yVal>
            <c:numRef>
              <c:f>Sheet1!$X$14:$X$24</c:f>
              <c:numCache>
                <c:formatCode>General</c:formatCode>
                <c:ptCount val="11"/>
                <c:pt idx="0">
                  <c:v>0</c:v>
                </c:pt>
                <c:pt idx="1">
                  <c:v>7.5</c:v>
                </c:pt>
                <c:pt idx="2">
                  <c:v>3.427734375</c:v>
                </c:pt>
                <c:pt idx="3">
                  <c:v>3.3986663818359375</c:v>
                </c:pt>
                <c:pt idx="4">
                  <c:v>3.044237494468689</c:v>
                </c:pt>
                <c:pt idx="5">
                  <c:v>3.0259199207648635</c:v>
                </c:pt>
                <c:pt idx="6">
                  <c:v>3.0021489591672434</c:v>
                </c:pt>
                <c:pt idx="7">
                  <c:v>3.0012637832223277</c:v>
                </c:pt>
                <c:pt idx="8">
                  <c:v>3.0000030455146898</c:v>
                </c:pt>
                <c:pt idx="9">
                  <c:v>3.0000386939840102</c:v>
                </c:pt>
                <c:pt idx="10">
                  <c:v>2.999989192492758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6A-4251-B302-D583273FFB08}"/>
            </c:ext>
          </c:extLst>
        </c:ser>
        <c:ser>
          <c:idx val="2"/>
          <c:order val="2"/>
          <c:tx>
            <c:strRef>
              <c:f>Sheet1!$Y$12:$Y$13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Sheet1!$V$14:$V$24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xVal>
          <c:yVal>
            <c:numRef>
              <c:f>Sheet1!$Y$14:$Y$24</c:f>
              <c:numCache>
                <c:formatCode>General</c:formatCode>
                <c:ptCount val="11"/>
                <c:pt idx="0">
                  <c:v>0</c:v>
                </c:pt>
                <c:pt idx="1">
                  <c:v>2.34375</c:v>
                </c:pt>
                <c:pt idx="2">
                  <c:v>3.460693359375</c:v>
                </c:pt>
                <c:pt idx="3">
                  <c:v>3.8465023040771484</c:v>
                </c:pt>
                <c:pt idx="4">
                  <c:v>3.9605554193258286</c:v>
                </c:pt>
                <c:pt idx="5">
                  <c:v>3.9907957980176434</c:v>
                </c:pt>
                <c:pt idx="6">
                  <c:v>3.9980789087849189</c:v>
                </c:pt>
                <c:pt idx="7">
                  <c:v>3.9996597425917102</c:v>
                </c:pt>
                <c:pt idx="8">
                  <c:v>3.999957914279805</c:v>
                </c:pt>
                <c:pt idx="9">
                  <c:v>4.0000012096119884</c:v>
                </c:pt>
                <c:pt idx="10">
                  <c:v>4.0000032068132265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6A-4251-B302-D583273FFB08}"/>
            </c:ext>
          </c:extLst>
        </c:ser>
        <c:ser>
          <c:idx val="3"/>
          <c:order val="3"/>
          <c:tx>
            <c:strRef>
              <c:f>Sheet1!$Z$12:$Z$13</c:f>
              <c:strCache>
                <c:ptCount val="2"/>
                <c:pt idx="0">
                  <c:v>Solusi</c:v>
                </c:pt>
                <c:pt idx="1">
                  <c:v>x3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Sheet1!$V$14:$V$24</c:f>
              <c:numCache>
                <c:formatCode>General</c:formatCode>
                <c:ptCount val="11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</c:numCache>
            </c:numRef>
          </c:xVal>
          <c:yVal>
            <c:numRef>
              <c:f>Sheet1!$Z$14:$Z$24</c:f>
              <c:numCache>
                <c:formatCode>General</c:formatCode>
                <c:ptCount val="11"/>
                <c:pt idx="0">
                  <c:v>0</c:v>
                </c:pt>
                <c:pt idx="1">
                  <c:v>-6.767578125</c:v>
                </c:pt>
                <c:pt idx="2">
                  <c:v>-4.7266387939453125</c:v>
                </c:pt>
                <c:pt idx="3">
                  <c:v>-5.116308331489563</c:v>
                </c:pt>
                <c:pt idx="4">
                  <c:v>-4.9832493485882878</c:v>
                </c:pt>
                <c:pt idx="5">
                  <c:v>-5.0070639759724145</c:v>
                </c:pt>
                <c:pt idx="6">
                  <c:v>-4.9988343470116092</c:v>
                </c:pt>
                <c:pt idx="7">
                  <c:v>-5.0003977436871878</c:v>
                </c:pt>
                <c:pt idx="8">
                  <c:v>-4.9999137158657643</c:v>
                </c:pt>
                <c:pt idx="9">
                  <c:v>-5.0000211930298128</c:v>
                </c:pt>
                <c:pt idx="10">
                  <c:v>-4.9999936996134133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6A-4251-B302-D583273F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995264"/>
        <c:axId val="1327105152"/>
      </c:scatterChart>
      <c:valAx>
        <c:axId val="147099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05152"/>
        <c:crosses val="autoZero"/>
        <c:crossBetween val="midCat"/>
      </c:valAx>
      <c:valAx>
        <c:axId val="13271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95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117443</xdr:colOff>
      <xdr:row>18</xdr:row>
      <xdr:rowOff>3651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BDC5AD-489D-438C-8CC9-21D61C96A778}"/>
            </a:ext>
          </a:extLst>
        </xdr:cNvPr>
        <xdr:cNvSpPr txBox="1"/>
      </xdr:nvSpPr>
      <xdr:spPr>
        <a:xfrm>
          <a:off x="8651843" y="34326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609599</xdr:colOff>
      <xdr:row>25</xdr:row>
      <xdr:rowOff>4762</xdr:rowOff>
    </xdr:from>
    <xdr:to>
      <xdr:col>9</xdr:col>
      <xdr:colOff>600074</xdr:colOff>
      <xdr:row>39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A4C1B8-591F-4270-A377-9DDDE7926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590549</xdr:colOff>
      <xdr:row>19</xdr:row>
      <xdr:rowOff>33337</xdr:rowOff>
    </xdr:from>
    <xdr:to>
      <xdr:col>20</xdr:col>
      <xdr:colOff>9524</xdr:colOff>
      <xdr:row>33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9E32D2-8196-430B-AFBA-3D2C52C33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20409</xdr:colOff>
      <xdr:row>24</xdr:row>
      <xdr:rowOff>97971</xdr:rowOff>
    </xdr:from>
    <xdr:to>
      <xdr:col>29</xdr:col>
      <xdr:colOff>13607</xdr:colOff>
      <xdr:row>38</xdr:row>
      <xdr:rowOff>174171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4F1E23-76F6-4797-A53E-9F67522EB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E3E6-3A37-4360-B56B-A4DB577244B0}">
  <dimension ref="A1:AR72"/>
  <sheetViews>
    <sheetView tabSelected="1" zoomScale="70" zoomScaleNormal="70" workbookViewId="0">
      <selection activeCell="AO32" sqref="AO32"/>
    </sheetView>
  </sheetViews>
  <sheetFormatPr defaultRowHeight="15" x14ac:dyDescent="0.25"/>
  <cols>
    <col min="1" max="16384" width="9.140625" style="1"/>
  </cols>
  <sheetData>
    <row r="1" spans="1:44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5">
      <c r="B3" s="2"/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4" t="s">
        <v>6</v>
      </c>
      <c r="O3" s="5"/>
      <c r="P3" s="5"/>
      <c r="Q3" s="5"/>
      <c r="R3" s="5" t="s">
        <v>23</v>
      </c>
      <c r="S3" s="5"/>
      <c r="T3" s="5"/>
      <c r="U3" s="5"/>
      <c r="V3" s="4">
        <v>1.25</v>
      </c>
      <c r="W3" s="4"/>
      <c r="X3" s="4"/>
      <c r="Y3" s="4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25">
      <c r="B4" s="2"/>
      <c r="C4" s="2"/>
      <c r="D4" s="2"/>
      <c r="E4" s="2"/>
      <c r="F4" s="2"/>
      <c r="G4" s="2"/>
      <c r="H4" s="2"/>
      <c r="I4" s="2"/>
      <c r="J4" s="5" t="s">
        <v>3</v>
      </c>
      <c r="K4" s="5"/>
      <c r="L4" s="5"/>
      <c r="M4" s="5"/>
      <c r="N4" s="4"/>
      <c r="O4" s="13" t="s">
        <v>8</v>
      </c>
      <c r="P4" s="13"/>
      <c r="Q4" s="13"/>
      <c r="R4" s="5" t="s">
        <v>22</v>
      </c>
      <c r="S4" s="5"/>
      <c r="T4" s="5"/>
      <c r="U4" s="5"/>
      <c r="V4" s="5">
        <v>0</v>
      </c>
      <c r="W4" s="5"/>
      <c r="X4" s="5"/>
      <c r="Y4" s="5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2"/>
      <c r="C5" s="2"/>
      <c r="D5" s="2"/>
      <c r="E5" s="2"/>
      <c r="F5" s="2"/>
      <c r="G5" s="2"/>
      <c r="H5" s="2"/>
      <c r="I5" s="2"/>
      <c r="J5" s="5" t="s">
        <v>7</v>
      </c>
      <c r="K5" s="5"/>
      <c r="L5" s="5"/>
      <c r="M5" s="5"/>
      <c r="N5" s="4"/>
      <c r="O5" s="13" t="s">
        <v>16</v>
      </c>
      <c r="P5" s="13"/>
      <c r="Q5" s="13"/>
      <c r="R5" s="5" t="s">
        <v>24</v>
      </c>
      <c r="S5" s="5"/>
      <c r="T5" s="5"/>
      <c r="U5" s="5"/>
      <c r="V5" s="5"/>
      <c r="W5" s="5"/>
      <c r="X5" s="5"/>
      <c r="Y5" s="5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25">
      <c r="B6" s="2"/>
      <c r="C6" s="2"/>
      <c r="D6" s="2"/>
      <c r="E6" s="2"/>
      <c r="F6" s="2"/>
      <c r="G6" s="2"/>
      <c r="H6" s="2"/>
      <c r="I6" s="2"/>
      <c r="J6" s="5" t="s">
        <v>4</v>
      </c>
      <c r="K6" s="5"/>
      <c r="L6" s="5"/>
      <c r="M6" s="5"/>
      <c r="N6" s="4"/>
      <c r="O6" s="13" t="s">
        <v>9</v>
      </c>
      <c r="P6" s="13"/>
      <c r="Q6" s="13"/>
      <c r="R6" s="5" t="s">
        <v>25</v>
      </c>
      <c r="S6" s="5"/>
      <c r="T6" s="5"/>
      <c r="U6" s="5"/>
      <c r="V6" s="5"/>
      <c r="W6" s="5"/>
      <c r="X6" s="5"/>
      <c r="Y6" s="5"/>
      <c r="Z6" s="2"/>
      <c r="AA6" s="2"/>
      <c r="AB6" s="2"/>
      <c r="AC6" s="20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25">
      <c r="B7" s="2"/>
      <c r="C7" s="2"/>
      <c r="D7" s="2"/>
      <c r="E7" s="2"/>
      <c r="F7" s="2"/>
      <c r="G7" s="2"/>
      <c r="H7" s="2"/>
      <c r="I7" s="2"/>
      <c r="J7" s="5" t="s">
        <v>5</v>
      </c>
      <c r="K7" s="5"/>
      <c r="L7" s="5"/>
      <c r="M7" s="5"/>
      <c r="N7" s="4"/>
      <c r="O7" s="13" t="s">
        <v>10</v>
      </c>
      <c r="P7" s="13"/>
      <c r="Q7" s="13"/>
      <c r="R7" s="5" t="s">
        <v>26</v>
      </c>
      <c r="S7" s="5"/>
      <c r="T7" s="5"/>
      <c r="U7" s="5"/>
      <c r="V7" s="5"/>
      <c r="W7" s="5"/>
      <c r="X7" s="5"/>
      <c r="Y7" s="5"/>
      <c r="Z7" s="2"/>
      <c r="AA7" s="2"/>
      <c r="AB7" s="2"/>
      <c r="AC7" s="20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0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0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0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25">
      <c r="A11" s="2"/>
      <c r="B11" s="12" t="s">
        <v>1</v>
      </c>
      <c r="C11" s="12"/>
      <c r="D11" s="12"/>
      <c r="E11" s="12"/>
      <c r="F11" s="12"/>
      <c r="G11" s="12"/>
      <c r="H11" s="12"/>
      <c r="I11" s="12"/>
      <c r="J11" s="12"/>
      <c r="K11" s="2"/>
      <c r="L11" s="12" t="s">
        <v>20</v>
      </c>
      <c r="M11" s="12"/>
      <c r="N11" s="12"/>
      <c r="O11" s="12"/>
      <c r="P11" s="12"/>
      <c r="Q11" s="12"/>
      <c r="R11" s="12"/>
      <c r="S11" s="12"/>
      <c r="T11" s="12"/>
      <c r="U11" s="2"/>
      <c r="V11" s="12" t="s">
        <v>21</v>
      </c>
      <c r="W11" s="12"/>
      <c r="X11" s="12"/>
      <c r="Y11" s="12"/>
      <c r="Z11" s="12"/>
      <c r="AA11" s="12"/>
      <c r="AB11" s="12"/>
      <c r="AC11" s="21"/>
      <c r="AD11" s="16"/>
      <c r="AE11" s="16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25">
      <c r="A12" s="2"/>
      <c r="B12" s="4" t="s">
        <v>2</v>
      </c>
      <c r="C12" s="5" t="s">
        <v>11</v>
      </c>
      <c r="D12" s="5"/>
      <c r="E12" s="5"/>
      <c r="F12" s="5"/>
      <c r="G12" s="6" t="s">
        <v>17</v>
      </c>
      <c r="H12" s="6"/>
      <c r="I12" s="6"/>
      <c r="J12" s="6"/>
      <c r="K12" s="2"/>
      <c r="L12" s="4" t="s">
        <v>2</v>
      </c>
      <c r="M12" s="5" t="s">
        <v>11</v>
      </c>
      <c r="N12" s="5"/>
      <c r="O12" s="5"/>
      <c r="P12" s="5"/>
      <c r="Q12" s="6" t="s">
        <v>17</v>
      </c>
      <c r="R12" s="6"/>
      <c r="S12" s="6"/>
      <c r="T12" s="6"/>
      <c r="U12" s="2"/>
      <c r="V12" s="4" t="s">
        <v>2</v>
      </c>
      <c r="W12" s="5" t="s">
        <v>11</v>
      </c>
      <c r="X12" s="5"/>
      <c r="Y12" s="5"/>
      <c r="Z12" s="5"/>
      <c r="AA12" s="6" t="s">
        <v>17</v>
      </c>
      <c r="AB12" s="6"/>
      <c r="AC12" s="14"/>
      <c r="AD12" s="17"/>
      <c r="AE12" s="16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25">
      <c r="A13" s="2"/>
      <c r="B13" s="4"/>
      <c r="C13" s="3" t="s">
        <v>12</v>
      </c>
      <c r="D13" s="3" t="s">
        <v>13</v>
      </c>
      <c r="E13" s="3" t="s">
        <v>14</v>
      </c>
      <c r="F13" s="3" t="s">
        <v>15</v>
      </c>
      <c r="G13" s="7" t="s">
        <v>18</v>
      </c>
      <c r="H13" s="7" t="s">
        <v>13</v>
      </c>
      <c r="I13" s="7" t="s">
        <v>19</v>
      </c>
      <c r="J13" s="7" t="s">
        <v>15</v>
      </c>
      <c r="K13" s="2"/>
      <c r="L13" s="4"/>
      <c r="M13" s="3" t="s">
        <v>12</v>
      </c>
      <c r="N13" s="3" t="s">
        <v>13</v>
      </c>
      <c r="O13" s="3" t="s">
        <v>14</v>
      </c>
      <c r="P13" s="3" t="s">
        <v>15</v>
      </c>
      <c r="Q13" s="7" t="s">
        <v>18</v>
      </c>
      <c r="R13" s="7" t="s">
        <v>13</v>
      </c>
      <c r="S13" s="7" t="s">
        <v>19</v>
      </c>
      <c r="T13" s="7" t="s">
        <v>15</v>
      </c>
      <c r="U13" s="2"/>
      <c r="V13" s="4"/>
      <c r="W13" s="3" t="s">
        <v>22</v>
      </c>
      <c r="X13" s="3" t="s">
        <v>12</v>
      </c>
      <c r="Y13" s="3" t="s">
        <v>13</v>
      </c>
      <c r="Z13" s="3" t="s">
        <v>14</v>
      </c>
      <c r="AA13" s="7" t="s">
        <v>18</v>
      </c>
      <c r="AB13" s="7" t="s">
        <v>13</v>
      </c>
      <c r="AC13" s="15" t="s">
        <v>19</v>
      </c>
      <c r="AD13" s="18"/>
      <c r="AE13" s="16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25">
      <c r="A14" s="2"/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7">
        <v>0</v>
      </c>
      <c r="H14" s="7"/>
      <c r="I14" s="7"/>
      <c r="J14" s="7"/>
      <c r="K14" s="2"/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7"/>
      <c r="R14" s="7"/>
      <c r="S14" s="7"/>
      <c r="T14" s="7"/>
      <c r="U14" s="2"/>
      <c r="V14" s="3"/>
      <c r="W14" s="3">
        <v>0</v>
      </c>
      <c r="X14" s="3">
        <v>0</v>
      </c>
      <c r="Y14" s="3">
        <v>0</v>
      </c>
      <c r="Z14" s="3">
        <v>0</v>
      </c>
      <c r="AA14" s="7"/>
      <c r="AB14" s="7"/>
      <c r="AC14" s="15"/>
      <c r="AD14" s="18"/>
      <c r="AE14" s="16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25">
      <c r="A15" s="2"/>
      <c r="B15" s="3">
        <v>1</v>
      </c>
      <c r="C15" s="3">
        <f>(6 +D14 -2*E14)/10</f>
        <v>0.6</v>
      </c>
      <c r="D15" s="3">
        <f>(25+C14+E14-3*F14)/11</f>
        <v>2.2727272727272729</v>
      </c>
      <c r="E15" s="3">
        <f>(-11-2*C14+D14+F14)/10</f>
        <v>-1.1000000000000001</v>
      </c>
      <c r="F15" s="3">
        <f>(15-3*D14+E14)/8</f>
        <v>1.875</v>
      </c>
      <c r="G15" s="8">
        <f>ABS((C15-C14)/C15)</f>
        <v>1</v>
      </c>
      <c r="H15" s="8">
        <f t="shared" ref="H15:J15" si="0">ABS((D15-D14)/D15)</f>
        <v>1</v>
      </c>
      <c r="I15" s="8">
        <f t="shared" si="0"/>
        <v>1</v>
      </c>
      <c r="J15" s="8">
        <f t="shared" si="0"/>
        <v>1</v>
      </c>
      <c r="K15" s="2"/>
      <c r="L15" s="3">
        <v>1</v>
      </c>
      <c r="M15" s="3">
        <f>(6+N14-2*O14)/10</f>
        <v>0.6</v>
      </c>
      <c r="N15" s="3">
        <f>(25+M15 +O14-3*P14)/11</f>
        <v>2.3272727272727276</v>
      </c>
      <c r="O15" s="3">
        <f>(-11 - 2*M15+N15+P14)/10</f>
        <v>-0.98727272727272708</v>
      </c>
      <c r="P15" s="3">
        <f>(15-3*N15+O15)/8</f>
        <v>0.87886363636363629</v>
      </c>
      <c r="Q15" s="8">
        <f>ABS((M15-M14)/M15)</f>
        <v>1</v>
      </c>
      <c r="R15" s="8">
        <f t="shared" ref="R15:T15" si="1">ABS((N15-N14)/N15)</f>
        <v>1</v>
      </c>
      <c r="S15" s="8">
        <f t="shared" si="1"/>
        <v>1</v>
      </c>
      <c r="T15" s="8">
        <f t="shared" si="1"/>
        <v>1</v>
      </c>
      <c r="U15" s="2"/>
      <c r="V15" s="3">
        <v>0</v>
      </c>
      <c r="W15" s="3">
        <v>0</v>
      </c>
      <c r="X15" s="3">
        <f>((1-$V$3)*X14+$V$3/4*(24-3*Y14))</f>
        <v>7.5</v>
      </c>
      <c r="Y15" s="3">
        <f>((1-$V$3)*Y14+$V$3/4*(30-3*X15+Z14))</f>
        <v>2.34375</v>
      </c>
      <c r="Z15" s="3">
        <f>((1-$V$3)*Z14+$V$3/4*(-24+Y15))</f>
        <v>-6.767578125</v>
      </c>
      <c r="AA15" s="8">
        <f>ABS((X15-X14)/X15)</f>
        <v>1</v>
      </c>
      <c r="AB15" s="8">
        <f t="shared" ref="AB15:AC15" si="2">ABS((Y15-Y14)/Y15)</f>
        <v>1</v>
      </c>
      <c r="AC15" s="22">
        <f t="shared" si="2"/>
        <v>1</v>
      </c>
      <c r="AD15" s="18"/>
      <c r="AE15" s="16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25">
      <c r="A16" s="2"/>
      <c r="B16" s="3">
        <v>2</v>
      </c>
      <c r="C16" s="3">
        <f t="shared" ref="C16:C20" si="3">(6 +D15 -2*E15)/10</f>
        <v>1.0472727272727274</v>
      </c>
      <c r="D16" s="3">
        <f t="shared" ref="D16:D20" si="4">(25+C15+E15-3*F15)/11</f>
        <v>1.7159090909090908</v>
      </c>
      <c r="E16" s="3">
        <f t="shared" ref="E16:E20" si="5">(-11-2*C15+D15+F15)/10</f>
        <v>-0.80522727272727257</v>
      </c>
      <c r="F16" s="3">
        <f t="shared" ref="F16:F20" si="6">(15-3*D15+E15)/8</f>
        <v>0.88522727272727275</v>
      </c>
      <c r="G16" s="8">
        <f t="shared" ref="G16:G20" si="7">ABS((C16-C15)/C16)</f>
        <v>0.42708333333333343</v>
      </c>
      <c r="H16" s="8">
        <f t="shared" ref="H16:H21" si="8">ABS((D16-D15)/D16)</f>
        <v>0.3245033112582783</v>
      </c>
      <c r="I16" s="8">
        <f t="shared" ref="I16:I21" si="9">ABS((E16-E15)/E16)</f>
        <v>0.36607394863110398</v>
      </c>
      <c r="J16" s="8">
        <f t="shared" ref="J16:J21" si="10">ABS((F16-F15)/F16)</f>
        <v>1.1181001283697047</v>
      </c>
      <c r="K16" s="2"/>
      <c r="L16" s="3">
        <v>2</v>
      </c>
      <c r="M16" s="3">
        <f t="shared" ref="M16:M18" si="11">(6+N15-2*O15)/10</f>
        <v>1.0301818181818183</v>
      </c>
      <c r="N16" s="3">
        <f t="shared" ref="N16:N18" si="12">(25+M16 +O15-3*P15)/11</f>
        <v>2.0369380165289255</v>
      </c>
      <c r="O16" s="3">
        <f t="shared" ref="O16:O18" si="13">(-11 - 2*M16+N16+P15)/10</f>
        <v>-1.0144561983471074</v>
      </c>
      <c r="P16" s="3">
        <f t="shared" ref="P16:P18" si="14">(15-3*N16+O16)/8</f>
        <v>0.98434121900826443</v>
      </c>
      <c r="Q16" s="8">
        <f t="shared" ref="Q16:Q18" si="15">ABS((M16-M15)/M16)</f>
        <v>0.41757853865160616</v>
      </c>
      <c r="R16" s="8">
        <f t="shared" ref="R16:R19" si="16">ABS((N16-N15)/N16)</f>
        <v>0.14253487754062899</v>
      </c>
      <c r="S16" s="8">
        <f t="shared" ref="S16:S19" si="17">ABS((O16-O15)/O16)</f>
        <v>2.6796101318786781E-2</v>
      </c>
      <c r="T16" s="8">
        <f t="shared" ref="T16:T19" si="18">ABS((P16-P15)/P16)</f>
        <v>0.1071555072649483</v>
      </c>
      <c r="U16" s="2"/>
      <c r="V16" s="3">
        <v>1</v>
      </c>
      <c r="W16" s="3">
        <v>1</v>
      </c>
      <c r="X16" s="3">
        <f t="shared" ref="X16:X24" si="19">((1-$V$3)*X15+$V$3/4*(24-3*Y15))</f>
        <v>3.427734375</v>
      </c>
      <c r="Y16" s="3">
        <f t="shared" ref="Y16:Y24" si="20">((1-$V$3)*Y15+$V$3/4*(30-3*X16+Z15))</f>
        <v>3.460693359375</v>
      </c>
      <c r="Z16" s="3">
        <f t="shared" ref="Z16:Z24" si="21">((1-$V$3)*Z15+$V$3/4*(-24+Y16))</f>
        <v>-4.7266387939453125</v>
      </c>
      <c r="AA16" s="8">
        <f t="shared" ref="AA16:AA24" si="22">ABS((X16-X15)/X16)</f>
        <v>1.188034188034188</v>
      </c>
      <c r="AB16" s="8">
        <f t="shared" ref="AB16:AB24" si="23">ABS((Y16-Y15)/Y16)</f>
        <v>0.32275132275132273</v>
      </c>
      <c r="AC16" s="8">
        <f t="shared" ref="AC16:AC24" si="24">ABS((Z16-Z15)/Z16)</f>
        <v>0.43179507045663651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25">
      <c r="A17" s="2"/>
      <c r="B17" s="3">
        <v>3</v>
      </c>
      <c r="C17" s="3">
        <f t="shared" si="3"/>
        <v>0.9326363636363636</v>
      </c>
      <c r="D17" s="3">
        <f t="shared" si="4"/>
        <v>2.0533057851239671</v>
      </c>
      <c r="E17" s="3">
        <f t="shared" si="5"/>
        <v>-1.0493409090909092</v>
      </c>
      <c r="F17" s="3">
        <f t="shared" si="6"/>
        <v>1.1308806818181818</v>
      </c>
      <c r="G17" s="8">
        <f t="shared" si="7"/>
        <v>0.12291646359294292</v>
      </c>
      <c r="H17" s="8">
        <f t="shared" si="8"/>
        <v>0.16431877641376547</v>
      </c>
      <c r="I17" s="8">
        <f t="shared" si="9"/>
        <v>0.23263520391587814</v>
      </c>
      <c r="J17" s="8">
        <f t="shared" si="10"/>
        <v>0.2172231014645665</v>
      </c>
      <c r="K17" s="2"/>
      <c r="L17" s="3">
        <v>3</v>
      </c>
      <c r="M17" s="3">
        <f t="shared" si="11"/>
        <v>1.0065850413223141</v>
      </c>
      <c r="N17" s="3">
        <f t="shared" si="12"/>
        <v>2.003555016904583</v>
      </c>
      <c r="O17" s="3">
        <f t="shared" si="13"/>
        <v>-1.0025273846731779</v>
      </c>
      <c r="P17" s="3">
        <f t="shared" si="14"/>
        <v>0.99835094557663417</v>
      </c>
      <c r="Q17" s="8">
        <f t="shared" si="15"/>
        <v>2.3442407636523194E-2</v>
      </c>
      <c r="R17" s="8">
        <f t="shared" si="16"/>
        <v>1.6661883173998342E-2</v>
      </c>
      <c r="S17" s="8">
        <f t="shared" si="17"/>
        <v>1.1898740978350707E-2</v>
      </c>
      <c r="T17" s="8">
        <f t="shared" si="18"/>
        <v>1.4032867530643655E-2</v>
      </c>
      <c r="U17" s="2"/>
      <c r="V17" s="3">
        <v>2</v>
      </c>
      <c r="W17" s="3">
        <v>2</v>
      </c>
      <c r="X17" s="3">
        <f t="shared" si="19"/>
        <v>3.3986663818359375</v>
      </c>
      <c r="Y17" s="3">
        <f t="shared" si="20"/>
        <v>3.8465023040771484</v>
      </c>
      <c r="Z17" s="3">
        <f t="shared" si="21"/>
        <v>-5.116308331489563</v>
      </c>
      <c r="AA17" s="8">
        <f t="shared" si="22"/>
        <v>8.5527644959256521E-3</v>
      </c>
      <c r="AB17" s="8">
        <f t="shared" si="23"/>
        <v>0.10030123842463461</v>
      </c>
      <c r="AC17" s="8">
        <f t="shared" si="24"/>
        <v>7.6162246740669362E-2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x14ac:dyDescent="0.25">
      <c r="A18" s="2"/>
      <c r="B18" s="3">
        <v>4</v>
      </c>
      <c r="C18" s="3">
        <f t="shared" si="3"/>
        <v>1.0151987603305785</v>
      </c>
      <c r="D18" s="3">
        <f t="shared" si="4"/>
        <v>1.9536957644628101</v>
      </c>
      <c r="E18" s="3">
        <f t="shared" si="5"/>
        <v>-0.9681086260330577</v>
      </c>
      <c r="F18" s="3">
        <f t="shared" si="6"/>
        <v>0.97384271694214875</v>
      </c>
      <c r="G18" s="8">
        <f t="shared" si="7"/>
        <v>8.1326337186749725E-2</v>
      </c>
      <c r="H18" s="8">
        <f t="shared" si="8"/>
        <v>5.0985431034368776E-2</v>
      </c>
      <c r="I18" s="8">
        <f t="shared" si="9"/>
        <v>8.3908231858970797E-2</v>
      </c>
      <c r="J18" s="8">
        <f t="shared" si="10"/>
        <v>0.16125598327533822</v>
      </c>
      <c r="K18" s="2"/>
      <c r="L18" s="9">
        <v>4</v>
      </c>
      <c r="M18" s="9">
        <f t="shared" si="11"/>
        <v>1.0008609786250939</v>
      </c>
      <c r="N18" s="9">
        <f t="shared" si="12"/>
        <v>2.000298250656547</v>
      </c>
      <c r="O18" s="9">
        <f t="shared" si="13"/>
        <v>-1.0003072761017007</v>
      </c>
      <c r="P18" s="9">
        <f t="shared" si="14"/>
        <v>0.99984974649108227</v>
      </c>
      <c r="Q18" s="10">
        <f t="shared" si="15"/>
        <v>5.7191386410962121E-3</v>
      </c>
      <c r="R18" s="10">
        <f t="shared" si="16"/>
        <v>1.6281403270572814E-3</v>
      </c>
      <c r="S18" s="10">
        <f t="shared" si="17"/>
        <v>2.2194265947252149E-3</v>
      </c>
      <c r="T18" s="10">
        <f t="shared" si="18"/>
        <v>1.4990261483868498E-3</v>
      </c>
      <c r="U18" s="2"/>
      <c r="V18" s="3">
        <v>3</v>
      </c>
      <c r="W18" s="3">
        <v>3</v>
      </c>
      <c r="X18" s="3">
        <f t="shared" si="19"/>
        <v>3.044237494468689</v>
      </c>
      <c r="Y18" s="3">
        <f t="shared" si="20"/>
        <v>3.9605554193258286</v>
      </c>
      <c r="Z18" s="3">
        <f t="shared" si="21"/>
        <v>-4.9832493485882878</v>
      </c>
      <c r="AA18" s="8">
        <f t="shared" si="22"/>
        <v>0.11642616189152057</v>
      </c>
      <c r="AB18" s="8">
        <f t="shared" si="23"/>
        <v>2.879725270151488E-2</v>
      </c>
      <c r="AC18" s="8">
        <f t="shared" si="24"/>
        <v>2.6701249243923472E-2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x14ac:dyDescent="0.25">
      <c r="A19" s="2"/>
      <c r="B19" s="3">
        <v>5</v>
      </c>
      <c r="C19" s="3">
        <f t="shared" si="3"/>
        <v>0.98899130165289262</v>
      </c>
      <c r="D19" s="3">
        <f t="shared" si="4"/>
        <v>2.0114147257700976</v>
      </c>
      <c r="E19" s="3">
        <f t="shared" si="5"/>
        <v>-1.0102859039256198</v>
      </c>
      <c r="F19" s="3">
        <f t="shared" si="6"/>
        <v>1.0213505100723141</v>
      </c>
      <c r="G19" s="8">
        <f t="shared" si="7"/>
        <v>2.6499180158496467E-2</v>
      </c>
      <c r="H19" s="8">
        <f t="shared" si="8"/>
        <v>2.8695703858481494E-2</v>
      </c>
      <c r="I19" s="8">
        <f t="shared" si="9"/>
        <v>4.1747863380728022E-2</v>
      </c>
      <c r="J19" s="8">
        <f t="shared" si="10"/>
        <v>4.651468096569681E-2</v>
      </c>
      <c r="K19" s="2"/>
      <c r="L19" s="9">
        <v>5</v>
      </c>
      <c r="M19" s="9">
        <f>(6+N18-2*O18)/10</f>
        <v>1.0000912802859949</v>
      </c>
      <c r="N19" s="9">
        <f>(25+M19 +O18-3*P18)/11</f>
        <v>2.000021342246459</v>
      </c>
      <c r="O19" s="9">
        <f>(-11 - 2*M19+N19+P18)/10</f>
        <v>-1.0000311471834449</v>
      </c>
      <c r="P19" s="9">
        <f>(15-3*N19+O19)/8</f>
        <v>0.99998810325964727</v>
      </c>
      <c r="Q19" s="10">
        <f>ABS((M19-M18)/M19)</f>
        <v>7.6962808722710017E-4</v>
      </c>
      <c r="R19" s="10">
        <f t="shared" si="16"/>
        <v>1.3845272759787421E-4</v>
      </c>
      <c r="S19" s="10">
        <f t="shared" si="17"/>
        <v>2.7612031788559727E-4</v>
      </c>
      <c r="T19" s="10">
        <f t="shared" si="18"/>
        <v>1.3835841457912943E-4</v>
      </c>
      <c r="U19" s="2"/>
      <c r="V19" s="3">
        <v>4</v>
      </c>
      <c r="W19" s="3">
        <v>4</v>
      </c>
      <c r="X19" s="3">
        <f t="shared" si="19"/>
        <v>3.0259199207648635</v>
      </c>
      <c r="Y19" s="3">
        <f t="shared" si="20"/>
        <v>3.9907957980176434</v>
      </c>
      <c r="Z19" s="3">
        <f t="shared" si="21"/>
        <v>-5.0070639759724145</v>
      </c>
      <c r="AA19" s="8">
        <f t="shared" si="22"/>
        <v>6.0535553429964303E-3</v>
      </c>
      <c r="AB19" s="8">
        <f t="shared" si="23"/>
        <v>7.5775309543114708E-3</v>
      </c>
      <c r="AC19" s="8">
        <f t="shared" si="24"/>
        <v>4.7562059319407133E-3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x14ac:dyDescent="0.25">
      <c r="A20" s="2"/>
      <c r="B20" s="3">
        <v>6</v>
      </c>
      <c r="C20" s="3">
        <f t="shared" si="3"/>
        <v>1.003198653362134</v>
      </c>
      <c r="D20" s="3">
        <f t="shared" si="4"/>
        <v>1.9922412606827571</v>
      </c>
      <c r="E20" s="3">
        <f t="shared" si="5"/>
        <v>-0.99452173674633748</v>
      </c>
      <c r="F20" s="3">
        <f t="shared" si="6"/>
        <v>0.99443373984551098</v>
      </c>
      <c r="G20" s="8">
        <f t="shared" si="7"/>
        <v>1.4162052213314531E-2</v>
      </c>
      <c r="H20" s="8">
        <f t="shared" si="8"/>
        <v>9.6240678605208803E-3</v>
      </c>
      <c r="I20" s="8">
        <f t="shared" si="9"/>
        <v>1.585100314735817E-2</v>
      </c>
      <c r="J20" s="8">
        <f t="shared" si="10"/>
        <v>2.7067434609554568E-2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>
        <v>5</v>
      </c>
      <c r="W20" s="3">
        <v>5</v>
      </c>
      <c r="X20" s="3">
        <f t="shared" si="19"/>
        <v>3.0021489591672434</v>
      </c>
      <c r="Y20" s="3">
        <f t="shared" si="20"/>
        <v>3.9980789087849189</v>
      </c>
      <c r="Z20" s="3">
        <f t="shared" si="21"/>
        <v>-4.9988343470116092</v>
      </c>
      <c r="AA20" s="8">
        <f t="shared" si="22"/>
        <v>7.9179820591626458E-3</v>
      </c>
      <c r="AB20" s="8">
        <f t="shared" si="23"/>
        <v>1.8216525820119339E-3</v>
      </c>
      <c r="AC20" s="8">
        <f t="shared" si="24"/>
        <v>1.6463095973014337E-3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25">
      <c r="A21" s="2"/>
      <c r="B21" s="3">
        <v>7</v>
      </c>
      <c r="C21" s="3">
        <f>(6 +D20 -2*E20)/10</f>
        <v>0.99812847341754318</v>
      </c>
      <c r="D21" s="3">
        <f>(25+C20+E20-3*F20)/11</f>
        <v>2.0023068815526606</v>
      </c>
      <c r="E21" s="3">
        <f>(-11-2*C20+D20+F20)/10</f>
        <v>-1.0019722306195997</v>
      </c>
      <c r="F21" s="3">
        <f>(15-3*D20+E20)/8</f>
        <v>1.0035943101506739</v>
      </c>
      <c r="G21" s="8">
        <f>ABS((C21-C20)/C21)</f>
        <v>5.0796867133053062E-3</v>
      </c>
      <c r="H21" s="8">
        <f t="shared" si="8"/>
        <v>5.0270120742422044E-3</v>
      </c>
      <c r="I21" s="8">
        <f t="shared" si="9"/>
        <v>7.4358287042097021E-3</v>
      </c>
      <c r="J21" s="8">
        <f t="shared" si="10"/>
        <v>9.1277622964877243E-3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9">
        <v>6</v>
      </c>
      <c r="W21" s="9">
        <v>6</v>
      </c>
      <c r="X21" s="9">
        <f t="shared" si="19"/>
        <v>3.0012637832223277</v>
      </c>
      <c r="Y21" s="9">
        <f t="shared" si="20"/>
        <v>3.9996597425917102</v>
      </c>
      <c r="Z21" s="9">
        <f t="shared" si="21"/>
        <v>-5.0003977436871878</v>
      </c>
      <c r="AA21" s="10">
        <f t="shared" si="22"/>
        <v>2.9493440392146979E-4</v>
      </c>
      <c r="AB21" s="10">
        <f t="shared" si="23"/>
        <v>3.9524207270865276E-4</v>
      </c>
      <c r="AC21" s="10">
        <f t="shared" si="24"/>
        <v>3.1265446384786424E-4</v>
      </c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25">
      <c r="A22" s="2"/>
      <c r="B22" s="11">
        <v>8</v>
      </c>
      <c r="C22" s="11">
        <f t="shared" ref="C22:C24" si="25">(6 +D21 -2*E21)/10</f>
        <v>1.0006251342791859</v>
      </c>
      <c r="D22" s="11">
        <f t="shared" ref="D22:D24" si="26">(25+C21+E21-3*F21)/11</f>
        <v>1.9986703011223563</v>
      </c>
      <c r="E22" s="11">
        <f t="shared" ref="E22:E24" si="27">(-11-2*C21+D21+F21)/10</f>
        <v>-0.99903557551317501</v>
      </c>
      <c r="F22" s="11">
        <f t="shared" ref="F22:F24" si="28">(15-3*D21+E21)/8</f>
        <v>0.99888839059030232</v>
      </c>
      <c r="G22" s="8">
        <f t="shared" ref="G22:G24" si="29">ABS((C22-C21)/C22)</f>
        <v>2.4951010884222786E-3</v>
      </c>
      <c r="H22" s="8">
        <f t="shared" ref="H22:H24" si="30">ABS((D22-D21)/D22)</f>
        <v>1.8194999086453177E-3</v>
      </c>
      <c r="I22" s="8">
        <f t="shared" ref="I22:I24" si="31">ABS((E22-E21)/E22)</f>
        <v>2.9394900225812679E-3</v>
      </c>
      <c r="J22" s="8">
        <f t="shared" ref="J22:J24" si="32">ABS((F22-F21)/F22)</f>
        <v>4.7111565262967755E-3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9">
        <v>7</v>
      </c>
      <c r="W22" s="9">
        <v>7</v>
      </c>
      <c r="X22" s="9">
        <f t="shared" si="19"/>
        <v>3.0000030455146898</v>
      </c>
      <c r="Y22" s="9">
        <f t="shared" si="20"/>
        <v>3.999957914279805</v>
      </c>
      <c r="Z22" s="9">
        <f t="shared" si="21"/>
        <v>-4.9999137158657643</v>
      </c>
      <c r="AA22" s="10">
        <f t="shared" si="22"/>
        <v>4.202454759247114E-4</v>
      </c>
      <c r="AB22" s="10">
        <f t="shared" si="23"/>
        <v>7.4543706330082118E-5</v>
      </c>
      <c r="AC22" s="10">
        <f t="shared" si="24"/>
        <v>9.6807234870397365E-5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25">
      <c r="A23" s="2"/>
      <c r="B23" s="9">
        <v>9</v>
      </c>
      <c r="C23" s="9">
        <f t="shared" si="25"/>
        <v>0.99967414521487064</v>
      </c>
      <c r="D23" s="9">
        <f t="shared" si="26"/>
        <v>2.0004476715450092</v>
      </c>
      <c r="E23" s="9">
        <f t="shared" si="27"/>
        <v>-1.0003691576845715</v>
      </c>
      <c r="F23" s="9">
        <f t="shared" si="28"/>
        <v>1.0006191901399695</v>
      </c>
      <c r="G23" s="10">
        <f t="shared" si="29"/>
        <v>9.5129904966265459E-4</v>
      </c>
      <c r="H23" s="10">
        <f t="shared" si="30"/>
        <v>8.8848633630101077E-4</v>
      </c>
      <c r="I23" s="10">
        <f t="shared" si="31"/>
        <v>1.3330900509599148E-3</v>
      </c>
      <c r="J23" s="10">
        <f t="shared" si="32"/>
        <v>1.7297285188234708E-3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9">
        <v>8</v>
      </c>
      <c r="W23" s="9">
        <v>8</v>
      </c>
      <c r="X23" s="9">
        <f t="shared" si="19"/>
        <v>3.0000386939840102</v>
      </c>
      <c r="Y23" s="9">
        <f t="shared" si="20"/>
        <v>4.0000012096119884</v>
      </c>
      <c r="Z23" s="9">
        <f t="shared" si="21"/>
        <v>-5.0000211930298128</v>
      </c>
      <c r="AA23" s="10">
        <f t="shared" si="22"/>
        <v>1.188266984421122E-5</v>
      </c>
      <c r="AB23" s="10">
        <f t="shared" si="23"/>
        <v>1.08238297726891E-5</v>
      </c>
      <c r="AC23" s="10">
        <f t="shared" si="24"/>
        <v>2.1495341699431503E-5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25">
      <c r="A24" s="2"/>
      <c r="B24" s="9">
        <v>10</v>
      </c>
      <c r="C24" s="9">
        <f t="shared" si="25"/>
        <v>1.0001185986914152</v>
      </c>
      <c r="D24" s="9">
        <f t="shared" si="26"/>
        <v>1.9997679470100358</v>
      </c>
      <c r="E24" s="9">
        <f t="shared" si="27"/>
        <v>-0.9998281428744763</v>
      </c>
      <c r="F24" s="9">
        <f t="shared" si="28"/>
        <v>0.99978597846005013</v>
      </c>
      <c r="G24" s="10">
        <f t="shared" si="29"/>
        <v>4.4440077119460981E-4</v>
      </c>
      <c r="H24" s="10">
        <f t="shared" si="30"/>
        <v>3.399017050902036E-4</v>
      </c>
      <c r="I24" s="10">
        <f t="shared" si="31"/>
        <v>5.4110780332684209E-4</v>
      </c>
      <c r="J24" s="10">
        <f t="shared" si="32"/>
        <v>8.3339004333979794E-4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9">
        <v>9</v>
      </c>
      <c r="W24" s="9">
        <v>9</v>
      </c>
      <c r="X24" s="9">
        <f t="shared" si="19"/>
        <v>2.999989192492758</v>
      </c>
      <c r="Y24" s="9">
        <f t="shared" si="20"/>
        <v>4.0000032068132265</v>
      </c>
      <c r="Z24" s="9">
        <f t="shared" si="21"/>
        <v>-4.9999936996134133</v>
      </c>
      <c r="AA24" s="10">
        <f t="shared" si="22"/>
        <v>1.6500556527384203E-5</v>
      </c>
      <c r="AB24" s="10">
        <f t="shared" si="23"/>
        <v>4.9929990925176172E-7</v>
      </c>
      <c r="AC24" s="10">
        <f t="shared" si="24"/>
        <v>5.4986902086779123E-6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25">
      <c r="A25" s="2"/>
      <c r="B25" s="9">
        <v>11</v>
      </c>
      <c r="C25" s="9">
        <f t="shared" ref="C25" si="33">(6 +D24 -2*E24)/10</f>
        <v>0.99994242327589888</v>
      </c>
      <c r="D25" s="9">
        <f t="shared" ref="D25" si="34">(25+C24+E24-3*F24)/11</f>
        <v>2.0000847745851624</v>
      </c>
      <c r="E25" s="9">
        <f t="shared" ref="E25" si="35">(-11-2*C24+D24+F24)/10</f>
        <v>-1.0000683271912745</v>
      </c>
      <c r="F25" s="9">
        <f t="shared" ref="F25" si="36">(15-3*D24+E24)/8</f>
        <v>1.0001085020119271</v>
      </c>
      <c r="G25" s="10">
        <f t="shared" ref="G25" si="37">ABS((C25-C24)/C25)</f>
        <v>1.7618555970365035E-4</v>
      </c>
      <c r="H25" s="10">
        <f t="shared" ref="H25" si="38">ABS((D25-D24)/D25)</f>
        <v>1.5840707311636114E-4</v>
      </c>
      <c r="I25" s="10">
        <f t="shared" ref="I25" si="39">ABS((E25-E24)/E25)</f>
        <v>2.4016790679966954E-4</v>
      </c>
      <c r="J25" s="10">
        <f t="shared" ref="J25" si="40">ABS((F25-F24)/F25)</f>
        <v>3.2248856121929175E-4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</sheetData>
  <mergeCells count="31">
    <mergeCell ref="AA12:AC12"/>
    <mergeCell ref="V11:AC11"/>
    <mergeCell ref="A1:AG2"/>
    <mergeCell ref="R5:Y5"/>
    <mergeCell ref="V3:Y3"/>
    <mergeCell ref="V4:Y4"/>
    <mergeCell ref="R6:Y6"/>
    <mergeCell ref="R7:Y7"/>
    <mergeCell ref="R3:U3"/>
    <mergeCell ref="R4:U4"/>
    <mergeCell ref="O3:Q3"/>
    <mergeCell ref="L11:T11"/>
    <mergeCell ref="L12:L13"/>
    <mergeCell ref="M12:P12"/>
    <mergeCell ref="Q12:T12"/>
    <mergeCell ref="V12:V13"/>
    <mergeCell ref="W12:Z12"/>
    <mergeCell ref="C12:F12"/>
    <mergeCell ref="O7:Q7"/>
    <mergeCell ref="O5:Q5"/>
    <mergeCell ref="G12:J12"/>
    <mergeCell ref="B11:J11"/>
    <mergeCell ref="J4:M4"/>
    <mergeCell ref="J5:M5"/>
    <mergeCell ref="N3:N7"/>
    <mergeCell ref="O4:Q4"/>
    <mergeCell ref="O6:Q6"/>
    <mergeCell ref="J6:M6"/>
    <mergeCell ref="J7:M7"/>
    <mergeCell ref="J3:M3"/>
    <mergeCell ref="B12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2026-10-02T06:10:54Z</dcterms:created>
  <dcterms:modified xsi:type="dcterms:W3CDTF">2026-10-02T07:49:04Z</dcterms:modified>
</cp:coreProperties>
</file>