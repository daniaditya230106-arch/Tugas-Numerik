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hasiswa\Documents\"/>
    </mc:Choice>
  </mc:AlternateContent>
  <xr:revisionPtr revIDLastSave="0" documentId="13_ncr:1_{4C8404A3-5CFF-4490-B016-62C88DE8A969}" xr6:coauthVersionLast="45" xr6:coauthVersionMax="45" xr10:uidLastSave="{00000000-0000-0000-0000-000000000000}"/>
  <bookViews>
    <workbookView xWindow="-120" yWindow="-120" windowWidth="29040" windowHeight="15720" xr2:uid="{C9C545F5-EE79-4E07-A585-A826E4B6761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R5" i="1" l="1"/>
  <c r="N5" i="1"/>
  <c r="O5" i="1"/>
  <c r="P5" i="1"/>
  <c r="N6" i="1"/>
  <c r="O6" i="1"/>
  <c r="P6" i="1"/>
  <c r="Q5" i="1"/>
  <c r="Q6" i="1"/>
  <c r="W6" i="1"/>
  <c r="W7" i="1"/>
  <c r="W5" i="1"/>
  <c r="D22" i="1"/>
  <c r="C23" i="1"/>
  <c r="D23" i="1" s="1"/>
  <c r="C12" i="1"/>
  <c r="D12" i="1" s="1"/>
  <c r="D11" i="1"/>
  <c r="E7" i="1"/>
  <c r="X5" i="1" l="1"/>
  <c r="X6" i="1"/>
  <c r="Y5" i="1" s="1"/>
  <c r="C13" i="1"/>
  <c r="C24" i="1"/>
  <c r="C14" i="1" l="1"/>
  <c r="D13" i="1"/>
  <c r="D24" i="1"/>
  <c r="C25" i="1"/>
  <c r="D14" i="1" l="1"/>
  <c r="C15" i="1"/>
  <c r="C26" i="1"/>
  <c r="D25" i="1"/>
  <c r="C16" i="1" l="1"/>
  <c r="D15" i="1"/>
  <c r="D26" i="1"/>
  <c r="C27" i="1"/>
  <c r="C17" i="1" l="1"/>
  <c r="D16" i="1"/>
  <c r="D27" i="1"/>
  <c r="C28" i="1"/>
  <c r="C18" i="1" l="1"/>
  <c r="D17" i="1"/>
  <c r="D28" i="1"/>
  <c r="C29" i="1"/>
  <c r="C19" i="1" l="1"/>
  <c r="D18" i="1"/>
  <c r="D29" i="1"/>
  <c r="C30" i="1"/>
  <c r="D19" i="1" l="1"/>
  <c r="C20" i="1"/>
  <c r="D30" i="1"/>
  <c r="C31" i="1"/>
  <c r="C21" i="1" l="1"/>
  <c r="D21" i="1" s="1"/>
  <c r="D20" i="1"/>
  <c r="D31" i="1"/>
  <c r="C32" i="1"/>
  <c r="D32" i="1" l="1"/>
  <c r="C33" i="1"/>
  <c r="D33" i="1" l="1"/>
  <c r="C34" i="1"/>
  <c r="D34" i="1" l="1"/>
  <c r="C35" i="1"/>
  <c r="D35" i="1" l="1"/>
  <c r="C36" i="1"/>
  <c r="C37" i="1" l="1"/>
  <c r="D36" i="1"/>
  <c r="C38" i="1" l="1"/>
  <c r="D37" i="1"/>
  <c r="D38" i="1" l="1"/>
  <c r="C39" i="1"/>
  <c r="D39" i="1" l="1"/>
  <c r="C40" i="1"/>
  <c r="D40" i="1" l="1"/>
  <c r="C41" i="1"/>
  <c r="D41" i="1" l="1"/>
  <c r="C42" i="1"/>
  <c r="D42" i="1" s="1"/>
</calcChain>
</file>

<file path=xl/sharedStrings.xml><?xml version="1.0" encoding="utf-8"?>
<sst xmlns="http://schemas.openxmlformats.org/spreadsheetml/2006/main" count="20" uniqueCount="12">
  <si>
    <t>Interpolasi</t>
  </si>
  <si>
    <t>Linier</t>
  </si>
  <si>
    <t>x</t>
  </si>
  <si>
    <t>y</t>
  </si>
  <si>
    <t>n</t>
  </si>
  <si>
    <t>x_i</t>
  </si>
  <si>
    <t>y_i</t>
  </si>
  <si>
    <t>kuadratik</t>
  </si>
  <si>
    <t>I</t>
  </si>
  <si>
    <t>II</t>
  </si>
  <si>
    <t>III</t>
  </si>
  <si>
    <t>Interpolasi Newton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</si>
</sst>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sz val="11"/>
      <color rgb="FFFF000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399975585192419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3" borderId="0" xfId="0" applyFont="1" applyFill="1" applyAlignment="1">
      <alignment horizontal="center"/>
    </xf>
    <xf numFmtId="0" fontId="1" fillId="3" borderId="0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4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55531496062992E-2"/>
          <c:y val="0.17171296296296298"/>
          <c:w val="0.8680719597550306"/>
          <c:h val="0.72088764946048411"/>
        </c:manualLayout>
      </c:layout>
      <c:scatterChart>
        <c:scatterStyle val="lineMarker"/>
        <c:varyColors val="0"/>
        <c:ser>
          <c:idx val="0"/>
          <c:order val="0"/>
          <c:tx>
            <c:strRef>
              <c:f>Sheet1!$D$10</c:f>
              <c:strCache>
                <c:ptCount val="1"/>
                <c:pt idx="0">
                  <c:v>y_i</c:v>
                </c:pt>
              </c:strCache>
            </c:strRef>
          </c:tx>
          <c:spPr>
            <a:ln w="25400" cap="rnd">
              <a:noFill/>
              <a:round/>
            </a:ln>
            <a:effectLst>
              <a:outerShdw dist="25400" dir="2700000" algn="tl" rotWithShape="0">
                <a:schemeClr val="accent1"/>
              </a:outerShdw>
            </a:effectLst>
          </c:spPr>
          <c:marker>
            <c:symbol val="circle"/>
            <c:size val="6"/>
            <c:spPr>
              <a:solidFill>
                <a:schemeClr val="accent1"/>
              </a:solidFill>
              <a:ln w="22225">
                <a:solidFill>
                  <a:schemeClr val="lt1"/>
                </a:solidFill>
                <a:round/>
              </a:ln>
              <a:effectLst/>
            </c:spPr>
          </c:marker>
          <c:xVal>
            <c:numRef>
              <c:f>Sheet1!$C$11:$C$42</c:f>
              <c:numCache>
                <c:formatCode>General</c:formatCode>
                <c:ptCount val="32"/>
                <c:pt idx="0">
                  <c:v>1</c:v>
                </c:pt>
                <c:pt idx="1">
                  <c:v>1.1000000000000001</c:v>
                </c:pt>
                <c:pt idx="2">
                  <c:v>1.2000000000000002</c:v>
                </c:pt>
                <c:pt idx="3">
                  <c:v>1.3000000000000003</c:v>
                </c:pt>
                <c:pt idx="4">
                  <c:v>1.4000000000000004</c:v>
                </c:pt>
                <c:pt idx="5">
                  <c:v>1.5000000000000004</c:v>
                </c:pt>
                <c:pt idx="6">
                  <c:v>1.6000000000000005</c:v>
                </c:pt>
                <c:pt idx="7">
                  <c:v>1.7000000000000006</c:v>
                </c:pt>
                <c:pt idx="8">
                  <c:v>1.8000000000000007</c:v>
                </c:pt>
                <c:pt idx="9">
                  <c:v>1.9000000000000008</c:v>
                </c:pt>
                <c:pt idx="10">
                  <c:v>2.0000000000000009</c:v>
                </c:pt>
                <c:pt idx="11">
                  <c:v>2</c:v>
                </c:pt>
                <c:pt idx="12">
                  <c:v>2.1</c:v>
                </c:pt>
                <c:pt idx="13">
                  <c:v>2.2000000000000002</c:v>
                </c:pt>
                <c:pt idx="14">
                  <c:v>2.3000000000000003</c:v>
                </c:pt>
                <c:pt idx="15">
                  <c:v>2.4000000000000004</c:v>
                </c:pt>
                <c:pt idx="16">
                  <c:v>2.5000000000000004</c:v>
                </c:pt>
                <c:pt idx="17">
                  <c:v>2.6000000000000005</c:v>
                </c:pt>
                <c:pt idx="18">
                  <c:v>2.7000000000000006</c:v>
                </c:pt>
                <c:pt idx="19">
                  <c:v>2.8000000000000007</c:v>
                </c:pt>
                <c:pt idx="20">
                  <c:v>2.9000000000000008</c:v>
                </c:pt>
                <c:pt idx="21">
                  <c:v>3.0000000000000009</c:v>
                </c:pt>
                <c:pt idx="22">
                  <c:v>3.100000000000001</c:v>
                </c:pt>
                <c:pt idx="23">
                  <c:v>3.2000000000000011</c:v>
                </c:pt>
                <c:pt idx="24">
                  <c:v>3.3000000000000012</c:v>
                </c:pt>
                <c:pt idx="25">
                  <c:v>3.4000000000000012</c:v>
                </c:pt>
                <c:pt idx="26">
                  <c:v>3.5000000000000013</c:v>
                </c:pt>
                <c:pt idx="27">
                  <c:v>3.6000000000000014</c:v>
                </c:pt>
                <c:pt idx="28">
                  <c:v>3.7000000000000015</c:v>
                </c:pt>
                <c:pt idx="29">
                  <c:v>3.8000000000000016</c:v>
                </c:pt>
                <c:pt idx="30">
                  <c:v>3.9000000000000017</c:v>
                </c:pt>
                <c:pt idx="31">
                  <c:v>4.0000000000000018</c:v>
                </c:pt>
              </c:numCache>
            </c:numRef>
          </c:xVal>
          <c:yVal>
            <c:numRef>
              <c:f>Sheet1!$D$11:$D$42</c:f>
              <c:numCache>
                <c:formatCode>General</c:formatCode>
                <c:ptCount val="32"/>
                <c:pt idx="0">
                  <c:v>0</c:v>
                </c:pt>
                <c:pt idx="1">
                  <c:v>4.620000000000004E-2</c:v>
                </c:pt>
                <c:pt idx="2">
                  <c:v>9.2400000000000079E-2</c:v>
                </c:pt>
                <c:pt idx="3">
                  <c:v>0.13860000000000011</c:v>
                </c:pt>
                <c:pt idx="4">
                  <c:v>0.18480000000000016</c:v>
                </c:pt>
                <c:pt idx="5">
                  <c:v>0.23100000000000018</c:v>
                </c:pt>
                <c:pt idx="6">
                  <c:v>0.27720000000000022</c:v>
                </c:pt>
                <c:pt idx="7">
                  <c:v>0.32340000000000024</c:v>
                </c:pt>
                <c:pt idx="8">
                  <c:v>0.36960000000000032</c:v>
                </c:pt>
                <c:pt idx="9">
                  <c:v>0.41580000000000034</c:v>
                </c:pt>
                <c:pt idx="10">
                  <c:v>0.46200000000000035</c:v>
                </c:pt>
                <c:pt idx="11">
                  <c:v>0.46199999999999997</c:v>
                </c:pt>
                <c:pt idx="12">
                  <c:v>0.50819999999999999</c:v>
                </c:pt>
                <c:pt idx="13">
                  <c:v>0.5544</c:v>
                </c:pt>
                <c:pt idx="14">
                  <c:v>0.60060000000000013</c:v>
                </c:pt>
                <c:pt idx="15">
                  <c:v>0.64680000000000015</c:v>
                </c:pt>
                <c:pt idx="16">
                  <c:v>0.69300000000000017</c:v>
                </c:pt>
                <c:pt idx="17">
                  <c:v>0.73920000000000019</c:v>
                </c:pt>
                <c:pt idx="18">
                  <c:v>0.78540000000000021</c:v>
                </c:pt>
                <c:pt idx="19">
                  <c:v>0.83160000000000023</c:v>
                </c:pt>
                <c:pt idx="20">
                  <c:v>0.87780000000000036</c:v>
                </c:pt>
                <c:pt idx="21">
                  <c:v>0.92400000000000038</c:v>
                </c:pt>
                <c:pt idx="22">
                  <c:v>0.9702000000000004</c:v>
                </c:pt>
                <c:pt idx="23">
                  <c:v>1.0164000000000004</c:v>
                </c:pt>
                <c:pt idx="24">
                  <c:v>1.0626000000000004</c:v>
                </c:pt>
                <c:pt idx="25">
                  <c:v>1.1088000000000005</c:v>
                </c:pt>
                <c:pt idx="26">
                  <c:v>1.1550000000000005</c:v>
                </c:pt>
                <c:pt idx="27">
                  <c:v>1.2012000000000005</c:v>
                </c:pt>
                <c:pt idx="28">
                  <c:v>1.2474000000000005</c:v>
                </c:pt>
                <c:pt idx="29">
                  <c:v>1.2936000000000007</c:v>
                </c:pt>
                <c:pt idx="30">
                  <c:v>1.3398000000000008</c:v>
                </c:pt>
                <c:pt idx="31">
                  <c:v>1.3860000000000008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122-48C2-A3EE-B4303B1A49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98623824"/>
        <c:axId val="1570776064"/>
      </c:scatterChart>
      <c:valAx>
        <c:axId val="15986238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alpha val="2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alpha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1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0776064"/>
        <c:crosses val="autoZero"/>
        <c:crossBetween val="midCat"/>
      </c:valAx>
      <c:valAx>
        <c:axId val="15707760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alpha val="2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86238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accent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7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spPr>
      <a:ln w="12700" cap="flat" cmpd="sng" algn="ctr">
        <a:solidFill>
          <a:schemeClr val="lt1">
            <a:alpha val="25000"/>
          </a:schemeClr>
        </a:solidFill>
        <a:round/>
      </a:ln>
    </cs:spPr>
    <cs:defRPr sz="900" b="0" kern="1200" spc="10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22225">
        <a:solidFill>
          <a:schemeClr val="lt1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gradFill>
          <a:gsLst>
            <a:gs pos="79000">
              <a:schemeClr val="phClr"/>
            </a:gs>
            <a:gs pos="0">
              <a:schemeClr val="lt1">
                <a:alpha val="60000"/>
              </a:schemeClr>
            </a:gs>
          </a:gsLst>
          <a:lin ang="5400000" scaled="0"/>
        </a:gradFill>
        <a:round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142875</xdr:colOff>
      <xdr:row>8</xdr:row>
      <xdr:rowOff>176212</xdr:rowOff>
    </xdr:from>
    <xdr:to>
      <xdr:col>11</xdr:col>
      <xdr:colOff>447675</xdr:colOff>
      <xdr:row>23</xdr:row>
      <xdr:rowOff>61912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4FA61F5-8D54-4961-9390-EF89D7E1A56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0B4769-B311-4119-9619-A93AFB22B654}">
  <dimension ref="B2:Y42"/>
  <sheetViews>
    <sheetView tabSelected="1" workbookViewId="0">
      <selection activeCell="P25" sqref="P25"/>
    </sheetView>
  </sheetViews>
  <sheetFormatPr defaultRowHeight="15" x14ac:dyDescent="0.25"/>
  <cols>
    <col min="1" max="16384" width="9.140625" style="1"/>
  </cols>
  <sheetData>
    <row r="2" spans="2:25" x14ac:dyDescent="0.25">
      <c r="B2" s="5" t="s">
        <v>0</v>
      </c>
      <c r="C2" s="5"/>
      <c r="D2" s="5"/>
    </row>
    <row r="3" spans="2:25" x14ac:dyDescent="0.25">
      <c r="T3" s="3" t="s">
        <v>11</v>
      </c>
      <c r="U3" s="3"/>
      <c r="V3" s="3"/>
      <c r="W3" s="3"/>
      <c r="X3" s="3"/>
      <c r="Y3" s="3"/>
    </row>
    <row r="4" spans="2:25" x14ac:dyDescent="0.25">
      <c r="B4" s="6" t="s">
        <v>1</v>
      </c>
      <c r="C4" s="6"/>
      <c r="D4" s="6"/>
      <c r="N4" s="4" t="s">
        <v>4</v>
      </c>
      <c r="O4" s="4" t="s">
        <v>2</v>
      </c>
      <c r="P4" s="4" t="s">
        <v>3</v>
      </c>
      <c r="Q4" s="4" t="s">
        <v>1</v>
      </c>
      <c r="R4" s="4" t="s">
        <v>7</v>
      </c>
      <c r="T4" s="4" t="s">
        <v>4</v>
      </c>
      <c r="U4" s="4" t="s">
        <v>2</v>
      </c>
      <c r="V4" s="4" t="s">
        <v>3</v>
      </c>
      <c r="W4" s="7" t="s">
        <v>8</v>
      </c>
      <c r="X4" s="7" t="s">
        <v>9</v>
      </c>
      <c r="Y4" s="7" t="s">
        <v>10</v>
      </c>
    </row>
    <row r="5" spans="2:25" x14ac:dyDescent="0.25">
      <c r="N5" s="2">
        <f>B7</f>
        <v>0</v>
      </c>
      <c r="O5" s="2">
        <f>C7</f>
        <v>1</v>
      </c>
      <c r="P5" s="2">
        <f>D7</f>
        <v>0</v>
      </c>
      <c r="Q5" s="2">
        <f>E7</f>
        <v>0.46199999999999997</v>
      </c>
      <c r="R5" s="8">
        <f>P5+((Q5)*(2-O5))+((((P7-P6)/(O7-O6))-((P6-P5)/(O6-O5)))/(O7-O5))*(2-O5)*(2-O6)</f>
        <v>0.56559999999999988</v>
      </c>
      <c r="T5" s="2">
        <v>0</v>
      </c>
      <c r="U5" s="2">
        <v>1</v>
      </c>
      <c r="V5" s="2">
        <v>0</v>
      </c>
      <c r="W5" s="2">
        <f>(V6-V5)/(U6-U5)</f>
        <v>0.46199999999999997</v>
      </c>
      <c r="X5" s="2">
        <f>(W6-W5)/(U7-U5)</f>
        <v>-5.9499999999999942E-2</v>
      </c>
      <c r="Y5" s="2">
        <f>(X6-X5)/(U8-U5)</f>
        <v>7.6999999999999621E-3</v>
      </c>
    </row>
    <row r="6" spans="2:25" x14ac:dyDescent="0.25">
      <c r="B6" s="4" t="s">
        <v>4</v>
      </c>
      <c r="C6" s="4" t="s">
        <v>2</v>
      </c>
      <c r="D6" s="4" t="s">
        <v>3</v>
      </c>
      <c r="E6" s="4" t="s">
        <v>1</v>
      </c>
      <c r="N6" s="2">
        <f>B8</f>
        <v>1</v>
      </c>
      <c r="O6" s="2">
        <f>C8</f>
        <v>4</v>
      </c>
      <c r="P6" s="2">
        <f>D8</f>
        <v>1.3859999999999999</v>
      </c>
      <c r="Q6" s="2">
        <f>((P7-P6))/(O7-O6)</f>
        <v>0.20300000000000007</v>
      </c>
      <c r="R6" s="10"/>
      <c r="T6" s="2">
        <v>1</v>
      </c>
      <c r="U6" s="2">
        <v>4</v>
      </c>
      <c r="V6" s="2">
        <v>1.3859999999999999</v>
      </c>
      <c r="W6" s="2">
        <f>(V7-V6)/(U7-U6)</f>
        <v>0.2240000000000002</v>
      </c>
      <c r="X6" s="2">
        <f>(W7-W6)/(U8-U6)</f>
        <v>-2.100000000000013E-2</v>
      </c>
      <c r="Y6" s="9"/>
    </row>
    <row r="7" spans="2:25" x14ac:dyDescent="0.25">
      <c r="B7" s="2">
        <v>0</v>
      </c>
      <c r="C7" s="2">
        <v>1</v>
      </c>
      <c r="D7" s="2">
        <v>0</v>
      </c>
      <c r="E7" s="2">
        <f>D7+((D8-D7)/(C8-C7))*(2-C7)</f>
        <v>0.46199999999999997</v>
      </c>
      <c r="N7" s="2">
        <v>2</v>
      </c>
      <c r="O7" s="2">
        <v>6</v>
      </c>
      <c r="P7" s="2">
        <v>1.792</v>
      </c>
      <c r="Q7" s="9"/>
      <c r="R7" s="9"/>
      <c r="T7" s="2">
        <v>2</v>
      </c>
      <c r="U7" s="2">
        <v>5</v>
      </c>
      <c r="V7" s="2">
        <v>1.61</v>
      </c>
      <c r="W7" s="2">
        <f>(V8-V7)/(U8-U7)</f>
        <v>0.18199999999999994</v>
      </c>
      <c r="X7" s="9"/>
      <c r="Y7" s="9"/>
    </row>
    <row r="8" spans="2:25" x14ac:dyDescent="0.25">
      <c r="B8" s="2">
        <v>1</v>
      </c>
      <c r="C8" s="2">
        <v>4</v>
      </c>
      <c r="D8" s="2">
        <v>1.3859999999999999</v>
      </c>
      <c r="E8" s="2"/>
      <c r="T8" s="2">
        <v>3</v>
      </c>
      <c r="U8" s="2">
        <v>6</v>
      </c>
      <c r="V8" s="2">
        <v>1.792</v>
      </c>
      <c r="W8" s="9"/>
      <c r="X8" s="9"/>
      <c r="Y8" s="9"/>
    </row>
    <row r="10" spans="2:25" x14ac:dyDescent="0.25">
      <c r="C10" s="11" t="s">
        <v>5</v>
      </c>
      <c r="D10" s="11" t="s">
        <v>6</v>
      </c>
    </row>
    <row r="11" spans="2:25" x14ac:dyDescent="0.25">
      <c r="C11" s="2">
        <v>1</v>
      </c>
      <c r="D11" s="2">
        <f>$D$7+(($D$8-$D$7)/($C$8-$C$7))*(C11-$C$7)</f>
        <v>0</v>
      </c>
    </row>
    <row r="12" spans="2:25" x14ac:dyDescent="0.25">
      <c r="C12" s="2">
        <f>C11+0.1</f>
        <v>1.1000000000000001</v>
      </c>
      <c r="D12" s="2">
        <f t="shared" ref="D12:D42" si="0">$D$7+(($D$8-$D$7)/($C$8-$C$7))*(C12-$C$7)</f>
        <v>4.620000000000004E-2</v>
      </c>
    </row>
    <row r="13" spans="2:25" x14ac:dyDescent="0.25">
      <c r="C13" s="2">
        <f t="shared" ref="C13:C21" si="1">C12+0.1</f>
        <v>1.2000000000000002</v>
      </c>
      <c r="D13" s="2">
        <f t="shared" si="0"/>
        <v>9.2400000000000079E-2</v>
      </c>
    </row>
    <row r="14" spans="2:25" x14ac:dyDescent="0.25">
      <c r="C14" s="2">
        <f t="shared" si="1"/>
        <v>1.3000000000000003</v>
      </c>
      <c r="D14" s="2">
        <f t="shared" si="0"/>
        <v>0.13860000000000011</v>
      </c>
    </row>
    <row r="15" spans="2:25" x14ac:dyDescent="0.25">
      <c r="C15" s="2">
        <f t="shared" si="1"/>
        <v>1.4000000000000004</v>
      </c>
      <c r="D15" s="2">
        <f t="shared" si="0"/>
        <v>0.18480000000000016</v>
      </c>
    </row>
    <row r="16" spans="2:25" x14ac:dyDescent="0.25">
      <c r="C16" s="2">
        <f t="shared" si="1"/>
        <v>1.5000000000000004</v>
      </c>
      <c r="D16" s="2">
        <f t="shared" si="0"/>
        <v>0.23100000000000018</v>
      </c>
    </row>
    <row r="17" spans="3:4" x14ac:dyDescent="0.25">
      <c r="C17" s="2">
        <f t="shared" si="1"/>
        <v>1.6000000000000005</v>
      </c>
      <c r="D17" s="2">
        <f t="shared" si="0"/>
        <v>0.27720000000000022</v>
      </c>
    </row>
    <row r="18" spans="3:4" x14ac:dyDescent="0.25">
      <c r="C18" s="2">
        <f t="shared" si="1"/>
        <v>1.7000000000000006</v>
      </c>
      <c r="D18" s="2">
        <f t="shared" si="0"/>
        <v>0.32340000000000024</v>
      </c>
    </row>
    <row r="19" spans="3:4" x14ac:dyDescent="0.25">
      <c r="C19" s="2">
        <f t="shared" si="1"/>
        <v>1.8000000000000007</v>
      </c>
      <c r="D19" s="2">
        <f t="shared" si="0"/>
        <v>0.36960000000000032</v>
      </c>
    </row>
    <row r="20" spans="3:4" x14ac:dyDescent="0.25">
      <c r="C20" s="2">
        <f t="shared" si="1"/>
        <v>1.9000000000000008</v>
      </c>
      <c r="D20" s="2">
        <f t="shared" si="0"/>
        <v>0.41580000000000034</v>
      </c>
    </row>
    <row r="21" spans="3:4" x14ac:dyDescent="0.25">
      <c r="C21" s="2">
        <f t="shared" si="1"/>
        <v>2.0000000000000009</v>
      </c>
      <c r="D21" s="2">
        <f t="shared" si="0"/>
        <v>0.46200000000000035</v>
      </c>
    </row>
    <row r="22" spans="3:4" x14ac:dyDescent="0.25">
      <c r="C22" s="2">
        <v>2</v>
      </c>
      <c r="D22" s="2">
        <f>$D$7+(($D$8-$D$7)/($C$8-$C$7))*(C22-$C$7)</f>
        <v>0.46199999999999997</v>
      </c>
    </row>
    <row r="23" spans="3:4" x14ac:dyDescent="0.25">
      <c r="C23" s="2">
        <f>C22+0.1</f>
        <v>2.1</v>
      </c>
      <c r="D23" s="2">
        <f t="shared" si="0"/>
        <v>0.50819999999999999</v>
      </c>
    </row>
    <row r="24" spans="3:4" x14ac:dyDescent="0.25">
      <c r="C24" s="2">
        <f t="shared" ref="C24:C31" si="2">C23+0.1</f>
        <v>2.2000000000000002</v>
      </c>
      <c r="D24" s="2">
        <f t="shared" si="0"/>
        <v>0.5544</v>
      </c>
    </row>
    <row r="25" spans="3:4" x14ac:dyDescent="0.25">
      <c r="C25" s="2">
        <f t="shared" si="2"/>
        <v>2.3000000000000003</v>
      </c>
      <c r="D25" s="2">
        <f t="shared" si="0"/>
        <v>0.60060000000000013</v>
      </c>
    </row>
    <row r="26" spans="3:4" x14ac:dyDescent="0.25">
      <c r="C26" s="2">
        <f t="shared" si="2"/>
        <v>2.4000000000000004</v>
      </c>
      <c r="D26" s="2">
        <f t="shared" si="0"/>
        <v>0.64680000000000015</v>
      </c>
    </row>
    <row r="27" spans="3:4" x14ac:dyDescent="0.25">
      <c r="C27" s="2">
        <f t="shared" si="2"/>
        <v>2.5000000000000004</v>
      </c>
      <c r="D27" s="2">
        <f t="shared" si="0"/>
        <v>0.69300000000000017</v>
      </c>
    </row>
    <row r="28" spans="3:4" x14ac:dyDescent="0.25">
      <c r="C28" s="2">
        <f t="shared" si="2"/>
        <v>2.6000000000000005</v>
      </c>
      <c r="D28" s="2">
        <f t="shared" si="0"/>
        <v>0.73920000000000019</v>
      </c>
    </row>
    <row r="29" spans="3:4" x14ac:dyDescent="0.25">
      <c r="C29" s="2">
        <f t="shared" si="2"/>
        <v>2.7000000000000006</v>
      </c>
      <c r="D29" s="2">
        <f t="shared" si="0"/>
        <v>0.78540000000000021</v>
      </c>
    </row>
    <row r="30" spans="3:4" x14ac:dyDescent="0.25">
      <c r="C30" s="2">
        <f t="shared" si="2"/>
        <v>2.8000000000000007</v>
      </c>
      <c r="D30" s="2">
        <f t="shared" si="0"/>
        <v>0.83160000000000023</v>
      </c>
    </row>
    <row r="31" spans="3:4" x14ac:dyDescent="0.25">
      <c r="C31" s="2">
        <f t="shared" si="2"/>
        <v>2.9000000000000008</v>
      </c>
      <c r="D31" s="2">
        <f t="shared" si="0"/>
        <v>0.87780000000000036</v>
      </c>
    </row>
    <row r="32" spans="3:4" x14ac:dyDescent="0.25">
      <c r="C32" s="2">
        <f t="shared" ref="C32" si="3">C31+0.1</f>
        <v>3.0000000000000009</v>
      </c>
      <c r="D32" s="2">
        <f t="shared" si="0"/>
        <v>0.92400000000000038</v>
      </c>
    </row>
    <row r="33" spans="3:4" x14ac:dyDescent="0.25">
      <c r="C33" s="2">
        <f t="shared" ref="C33:C38" si="4">C32+0.1</f>
        <v>3.100000000000001</v>
      </c>
      <c r="D33" s="2">
        <f t="shared" si="0"/>
        <v>0.9702000000000004</v>
      </c>
    </row>
    <row r="34" spans="3:4" x14ac:dyDescent="0.25">
      <c r="C34" s="2">
        <f t="shared" si="4"/>
        <v>3.2000000000000011</v>
      </c>
      <c r="D34" s="2">
        <f t="shared" si="0"/>
        <v>1.0164000000000004</v>
      </c>
    </row>
    <row r="35" spans="3:4" x14ac:dyDescent="0.25">
      <c r="C35" s="2">
        <f t="shared" si="4"/>
        <v>3.3000000000000012</v>
      </c>
      <c r="D35" s="2">
        <f t="shared" si="0"/>
        <v>1.0626000000000004</v>
      </c>
    </row>
    <row r="36" spans="3:4" x14ac:dyDescent="0.25">
      <c r="C36" s="2">
        <f t="shared" si="4"/>
        <v>3.4000000000000012</v>
      </c>
      <c r="D36" s="2">
        <f t="shared" si="0"/>
        <v>1.1088000000000005</v>
      </c>
    </row>
    <row r="37" spans="3:4" x14ac:dyDescent="0.25">
      <c r="C37" s="2">
        <f t="shared" si="4"/>
        <v>3.5000000000000013</v>
      </c>
      <c r="D37" s="2">
        <f t="shared" si="0"/>
        <v>1.1550000000000005</v>
      </c>
    </row>
    <row r="38" spans="3:4" x14ac:dyDescent="0.25">
      <c r="C38" s="2">
        <f t="shared" si="4"/>
        <v>3.6000000000000014</v>
      </c>
      <c r="D38" s="2">
        <f t="shared" si="0"/>
        <v>1.2012000000000005</v>
      </c>
    </row>
    <row r="39" spans="3:4" x14ac:dyDescent="0.25">
      <c r="C39" s="2">
        <f t="shared" ref="C39:C42" si="5">C38+0.1</f>
        <v>3.7000000000000015</v>
      </c>
      <c r="D39" s="2">
        <f t="shared" si="0"/>
        <v>1.2474000000000005</v>
      </c>
    </row>
    <row r="40" spans="3:4" x14ac:dyDescent="0.25">
      <c r="C40" s="2">
        <f t="shared" si="5"/>
        <v>3.8000000000000016</v>
      </c>
      <c r="D40" s="2">
        <f t="shared" si="0"/>
        <v>1.2936000000000007</v>
      </c>
    </row>
    <row r="41" spans="3:4" x14ac:dyDescent="0.25">
      <c r="C41" s="2">
        <f t="shared" si="5"/>
        <v>3.9000000000000017</v>
      </c>
      <c r="D41" s="2">
        <f t="shared" si="0"/>
        <v>1.3398000000000008</v>
      </c>
    </row>
    <row r="42" spans="3:4" x14ac:dyDescent="0.25">
      <c r="C42" s="2">
        <f t="shared" si="5"/>
        <v>4.0000000000000018</v>
      </c>
      <c r="D42" s="2">
        <f t="shared" si="0"/>
        <v>1.3860000000000008</v>
      </c>
    </row>
  </sheetData>
  <mergeCells count="3">
    <mergeCell ref="B2:D2"/>
    <mergeCell ref="B4:D4"/>
    <mergeCell ref="T3:Y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Mahasiswa</dc:creator>
  <cp:lastModifiedBy>Mahasiswa</cp:lastModifiedBy>
  <dcterms:created xsi:type="dcterms:W3CDTF">2026-10-16T07:18:50Z</dcterms:created>
  <dcterms:modified xsi:type="dcterms:W3CDTF">2026-10-16T08:36:39Z</dcterms:modified>
</cp:coreProperties>
</file>