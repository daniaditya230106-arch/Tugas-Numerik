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hasiswa\Downloads\"/>
    </mc:Choice>
  </mc:AlternateContent>
  <xr:revisionPtr revIDLastSave="0" documentId="13_ncr:1_{9343E0BF-314A-4A1C-B176-9941875C9A21}" xr6:coauthVersionLast="45" xr6:coauthVersionMax="45" xr10:uidLastSave="{00000000-0000-0000-0000-000000000000}"/>
  <bookViews>
    <workbookView xWindow="-120" yWindow="-120" windowWidth="29040" windowHeight="15720" xr2:uid="{C771BC8F-E8AE-46BC-9984-6A467115AA0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U4" i="1" l="1"/>
  <c r="AU5" i="1"/>
  <c r="AU6" i="1"/>
  <c r="AU7" i="1"/>
  <c r="AU8" i="1"/>
  <c r="AU9" i="1"/>
  <c r="AT5" i="1"/>
  <c r="AT6" i="1"/>
  <c r="AT7" i="1"/>
  <c r="AT8" i="1"/>
  <c r="AT9" i="1"/>
  <c r="AU3" i="1"/>
  <c r="AT4" i="1"/>
  <c r="AS4" i="1"/>
  <c r="AS5" i="1"/>
  <c r="AS6" i="1"/>
  <c r="AS7" i="1"/>
  <c r="AS8" i="1"/>
  <c r="AS9" i="1"/>
  <c r="AS3" i="1"/>
  <c r="AR5" i="1"/>
  <c r="AR6" i="1"/>
  <c r="AR7" i="1"/>
  <c r="AR8" i="1"/>
  <c r="AR9" i="1"/>
  <c r="AR4" i="1"/>
  <c r="AP8" i="1"/>
  <c r="AP6" i="1"/>
  <c r="AQ6" i="1"/>
  <c r="AP7" i="1"/>
  <c r="AQ7" i="1" s="1"/>
  <c r="AQ5" i="1"/>
  <c r="AP5" i="1"/>
  <c r="AQ4" i="1"/>
  <c r="AQ3" i="1"/>
  <c r="AJ7" i="1"/>
  <c r="AF3" i="1"/>
  <c r="AA4" i="1"/>
  <c r="AA5" i="1"/>
  <c r="AA6" i="1"/>
  <c r="AA7" i="1"/>
  <c r="AA8" i="1"/>
  <c r="AA9" i="1"/>
  <c r="AA10" i="1"/>
  <c r="AA11" i="1"/>
  <c r="AA3" i="1"/>
  <c r="Z5" i="1"/>
  <c r="Z6" i="1"/>
  <c r="Z7" i="1"/>
  <c r="Z8" i="1"/>
  <c r="Z9" i="1"/>
  <c r="Z10" i="1"/>
  <c r="Z11" i="1"/>
  <c r="Z4" i="1"/>
  <c r="S5" i="1"/>
  <c r="U5" i="1" s="1"/>
  <c r="T5" i="1"/>
  <c r="V5" i="1" s="1"/>
  <c r="U4" i="1"/>
  <c r="V4" i="1"/>
  <c r="T4" i="1"/>
  <c r="S4" i="1"/>
  <c r="Y3" i="1"/>
  <c r="X3" i="1"/>
  <c r="W3" i="1"/>
  <c r="V3" i="1"/>
  <c r="U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3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4" i="1"/>
  <c r="F18" i="1"/>
  <c r="G18" i="1"/>
  <c r="H18" i="1"/>
  <c r="I18" i="1"/>
  <c r="K18" i="1" s="1"/>
  <c r="J18" i="1"/>
  <c r="F5" i="1"/>
  <c r="G5" i="1"/>
  <c r="H5" i="1" s="1"/>
  <c r="J5" i="1" s="1"/>
  <c r="I5" i="1"/>
  <c r="H4" i="1"/>
  <c r="J4" i="1" s="1"/>
  <c r="K4" i="1" s="1"/>
  <c r="I4" i="1"/>
  <c r="G4" i="1"/>
  <c r="F4" i="1"/>
  <c r="K3" i="1"/>
  <c r="I3" i="1"/>
  <c r="H3" i="1"/>
  <c r="J3" i="1" s="1"/>
  <c r="AQ8" i="1" l="1"/>
  <c r="AP9" i="1" s="1"/>
  <c r="AQ9" i="1" s="1"/>
  <c r="AF4" i="1"/>
  <c r="AG3" i="1"/>
  <c r="AH3" i="1"/>
  <c r="W5" i="1"/>
  <c r="X5" i="1" s="1"/>
  <c r="Y5" i="1" s="1"/>
  <c r="W4" i="1"/>
  <c r="X4" i="1" s="1"/>
  <c r="Y4" i="1" s="1"/>
  <c r="G19" i="1"/>
  <c r="F19" i="1"/>
  <c r="K5" i="1"/>
  <c r="AG4" i="1" l="1"/>
  <c r="AH4" i="1"/>
  <c r="AF5" i="1" s="1"/>
  <c r="AJ3" i="1"/>
  <c r="AI4" i="1"/>
  <c r="S6" i="1"/>
  <c r="T6" i="1"/>
  <c r="V6" i="1" s="1"/>
  <c r="H19" i="1"/>
  <c r="J19" i="1" s="1"/>
  <c r="I19" i="1"/>
  <c r="K19" i="1" s="1"/>
  <c r="G6" i="1"/>
  <c r="F6" i="1"/>
  <c r="AH5" i="1" l="1"/>
  <c r="AJ4" i="1"/>
  <c r="AI5" i="1"/>
  <c r="AG5" i="1"/>
  <c r="AF6" i="1" s="1"/>
  <c r="U6" i="1"/>
  <c r="F20" i="1"/>
  <c r="G20" i="1"/>
  <c r="H6" i="1"/>
  <c r="J6" i="1" s="1"/>
  <c r="I6" i="1"/>
  <c r="K6" i="1" s="1"/>
  <c r="AI6" i="1" l="1"/>
  <c r="AJ5" i="1"/>
  <c r="AH6" i="1"/>
  <c r="AG6" i="1"/>
  <c r="AF7" i="1"/>
  <c r="W6" i="1"/>
  <c r="X6" i="1" s="1"/>
  <c r="Y6" i="1" s="1"/>
  <c r="I20" i="1"/>
  <c r="H20" i="1"/>
  <c r="J20" i="1" s="1"/>
  <c r="F7" i="1"/>
  <c r="G7" i="1"/>
  <c r="AJ6" i="1" l="1"/>
  <c r="AI7" i="1"/>
  <c r="AH7" i="1"/>
  <c r="AG7" i="1"/>
  <c r="S7" i="1"/>
  <c r="T7" i="1"/>
  <c r="V7" i="1" s="1"/>
  <c r="K20" i="1"/>
  <c r="H7" i="1"/>
  <c r="J7" i="1" s="1"/>
  <c r="I7" i="1"/>
  <c r="K7" i="1" s="1"/>
  <c r="U7" i="1" l="1"/>
  <c r="G21" i="1"/>
  <c r="F21" i="1"/>
  <c r="G8" i="1"/>
  <c r="F8" i="1"/>
  <c r="W7" i="1" l="1"/>
  <c r="X7" i="1" s="1"/>
  <c r="Y7" i="1" s="1"/>
  <c r="H21" i="1"/>
  <c r="J21" i="1" s="1"/>
  <c r="I21" i="1"/>
  <c r="H8" i="1"/>
  <c r="J8" i="1" s="1"/>
  <c r="I8" i="1"/>
  <c r="K8" i="1" s="1"/>
  <c r="S8" i="1" l="1"/>
  <c r="T8" i="1"/>
  <c r="V8" i="1" s="1"/>
  <c r="K21" i="1"/>
  <c r="F9" i="1"/>
  <c r="G9" i="1"/>
  <c r="U8" i="1" l="1"/>
  <c r="F22" i="1"/>
  <c r="G22" i="1"/>
  <c r="I9" i="1"/>
  <c r="H9" i="1"/>
  <c r="J9" i="1" s="1"/>
  <c r="Y8" i="1" l="1"/>
  <c r="W8" i="1"/>
  <c r="X8" i="1" s="1"/>
  <c r="H22" i="1"/>
  <c r="J22" i="1" s="1"/>
  <c r="I22" i="1"/>
  <c r="K22" i="1" s="1"/>
  <c r="K9" i="1"/>
  <c r="S9" i="1" l="1"/>
  <c r="T9" i="1"/>
  <c r="V9" i="1" s="1"/>
  <c r="F23" i="1"/>
  <c r="G23" i="1"/>
  <c r="G10" i="1"/>
  <c r="F10" i="1"/>
  <c r="W9" i="1" l="1"/>
  <c r="X9" i="1" s="1"/>
  <c r="U9" i="1"/>
  <c r="H23" i="1"/>
  <c r="J23" i="1" s="1"/>
  <c r="I23" i="1"/>
  <c r="K23" i="1" s="1"/>
  <c r="H10" i="1"/>
  <c r="J10" i="1" s="1"/>
  <c r="I10" i="1"/>
  <c r="K10" i="1" s="1"/>
  <c r="Y9" i="1" l="1"/>
  <c r="F24" i="1"/>
  <c r="G24" i="1"/>
  <c r="F11" i="1"/>
  <c r="G11" i="1"/>
  <c r="T10" i="1" l="1"/>
  <c r="V10" i="1" s="1"/>
  <c r="S10" i="1"/>
  <c r="H24" i="1"/>
  <c r="J24" i="1" s="1"/>
  <c r="I24" i="1"/>
  <c r="I11" i="1"/>
  <c r="H11" i="1"/>
  <c r="J11" i="1" s="1"/>
  <c r="U10" i="1" l="1"/>
  <c r="K24" i="1"/>
  <c r="K11" i="1"/>
  <c r="W10" i="1" l="1"/>
  <c r="X10" i="1" s="1"/>
  <c r="Y10" i="1" s="1"/>
  <c r="G25" i="1"/>
  <c r="F25" i="1"/>
  <c r="F12" i="1"/>
  <c r="G12" i="1"/>
  <c r="S11" i="1" l="1"/>
  <c r="T11" i="1"/>
  <c r="V11" i="1" s="1"/>
  <c r="H25" i="1"/>
  <c r="J25" i="1" s="1"/>
  <c r="I25" i="1"/>
  <c r="K25" i="1" s="1"/>
  <c r="H12" i="1"/>
  <c r="J12" i="1" s="1"/>
  <c r="I12" i="1"/>
  <c r="K12" i="1" s="1"/>
  <c r="U11" i="1" l="1"/>
  <c r="W11" i="1"/>
  <c r="X11" i="1" s="1"/>
  <c r="F26" i="1"/>
  <c r="G26" i="1"/>
  <c r="F13" i="1"/>
  <c r="G13" i="1"/>
  <c r="Y11" i="1" l="1"/>
  <c r="H26" i="1"/>
  <c r="J26" i="1" s="1"/>
  <c r="I26" i="1"/>
  <c r="I13" i="1"/>
  <c r="H13" i="1"/>
  <c r="J13" i="1" s="1"/>
  <c r="K26" i="1" l="1"/>
  <c r="K13" i="1"/>
  <c r="F27" i="1" l="1"/>
  <c r="G27" i="1"/>
  <c r="G14" i="1"/>
  <c r="F14" i="1"/>
  <c r="H27" i="1" l="1"/>
  <c r="J27" i="1" s="1"/>
  <c r="I27" i="1"/>
  <c r="K27" i="1" s="1"/>
  <c r="H14" i="1"/>
  <c r="J14" i="1" s="1"/>
  <c r="I14" i="1"/>
  <c r="K14" i="1" s="1"/>
  <c r="F28" i="1" l="1"/>
  <c r="G28" i="1"/>
  <c r="F15" i="1"/>
  <c r="G15" i="1"/>
  <c r="H28" i="1" l="1"/>
  <c r="J28" i="1" s="1"/>
  <c r="I28" i="1"/>
  <c r="K28" i="1" s="1"/>
  <c r="I15" i="1"/>
  <c r="K15" i="1" s="1"/>
  <c r="H15" i="1"/>
  <c r="J15" i="1" s="1"/>
  <c r="F16" i="1" l="1"/>
  <c r="G16" i="1"/>
  <c r="H16" i="1" l="1"/>
  <c r="J16" i="1" s="1"/>
  <c r="I16" i="1"/>
  <c r="K16" i="1" l="1"/>
  <c r="F17" i="1" l="1"/>
  <c r="G17" i="1"/>
  <c r="I17" i="1" l="1"/>
  <c r="H17" i="1"/>
  <c r="J17" i="1" s="1"/>
  <c r="K17" i="1" l="1"/>
</calcChain>
</file>

<file path=xl/sharedStrings.xml><?xml version="1.0" encoding="utf-8"?>
<sst xmlns="http://schemas.openxmlformats.org/spreadsheetml/2006/main" count="53" uniqueCount="28">
  <si>
    <t>Metode bagi dua</t>
  </si>
  <si>
    <t>f(x) = x^2-3</t>
  </si>
  <si>
    <t>Interval</t>
  </si>
  <si>
    <t>(1,2)</t>
  </si>
  <si>
    <t>S.Eksak</t>
  </si>
  <si>
    <t>a</t>
  </si>
  <si>
    <t>b</t>
  </si>
  <si>
    <t>Xn</t>
  </si>
  <si>
    <t>f(a)</t>
  </si>
  <si>
    <t>f(Xn)</t>
  </si>
  <si>
    <t>f(a).f(Xn)</t>
  </si>
  <si>
    <t>iterasi</t>
  </si>
  <si>
    <t xml:space="preserve">G hampiran </t>
  </si>
  <si>
    <t>G Biasa</t>
  </si>
  <si>
    <t>Metode Posisi Palsu</t>
  </si>
  <si>
    <t>Iterasi</t>
  </si>
  <si>
    <t>f(b)</t>
  </si>
  <si>
    <t>Metode Numerik</t>
  </si>
  <si>
    <t>G biasa</t>
  </si>
  <si>
    <t>Metode Newton</t>
  </si>
  <si>
    <t>f'(x) = 2x</t>
  </si>
  <si>
    <t>X0</t>
  </si>
  <si>
    <t>f'(Xn)</t>
  </si>
  <si>
    <t>Metode Secant</t>
  </si>
  <si>
    <t>n-1</t>
  </si>
  <si>
    <t>n+1</t>
  </si>
  <si>
    <t>S.eksak</t>
  </si>
  <si>
    <t>Persentase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</si>
</sst>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#,##0.000"/>
    <numFmt numFmtId="168" formatCode="#,##0.000000"/>
    <numFmt numFmtId="184" formatCode="0.00000000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48"/>
      <color theme="1"/>
      <name val="Sitka Small Semibold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2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1" xfId="0" applyBorder="1"/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2" borderId="0" xfId="0" applyFill="1" applyAlignment="1">
      <alignment horizontal="center"/>
    </xf>
    <xf numFmtId="165" fontId="0" fillId="0" borderId="2" xfId="0" applyNumberFormat="1" applyBorder="1" applyAlignment="1">
      <alignment horizontal="center"/>
    </xf>
    <xf numFmtId="165" fontId="0" fillId="0" borderId="3" xfId="0" applyNumberFormat="1" applyBorder="1" applyAlignment="1">
      <alignment horizontal="center"/>
    </xf>
    <xf numFmtId="168" fontId="0" fillId="0" borderId="1" xfId="0" applyNumberFormat="1" applyBorder="1"/>
    <xf numFmtId="0" fontId="0" fillId="3" borderId="1" xfId="0" applyFill="1" applyBorder="1" applyAlignment="1">
      <alignment horizontal="center"/>
    </xf>
    <xf numFmtId="0" fontId="0" fillId="3" borderId="0" xfId="0" applyFill="1" applyBorder="1" applyAlignment="1">
      <alignment horizontal="center"/>
    </xf>
    <xf numFmtId="0" fontId="0" fillId="3" borderId="0" xfId="0" applyFill="1" applyAlignment="1">
      <alignment horizontal="center"/>
    </xf>
    <xf numFmtId="0" fontId="3" fillId="4" borderId="0" xfId="0" applyFont="1" applyFill="1" applyAlignment="1">
      <alignment horizontal="center"/>
    </xf>
    <xf numFmtId="0" fontId="0" fillId="0" borderId="2" xfId="0" applyBorder="1" applyAlignment="1">
      <alignment horizontal="center"/>
    </xf>
    <xf numFmtId="0" fontId="0" fillId="2" borderId="1" xfId="0" applyFill="1" applyBorder="1"/>
    <xf numFmtId="0" fontId="2" fillId="3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184" fontId="0" fillId="0" borderId="0" xfId="0" applyNumberFormat="1" applyAlignment="1">
      <alignment horizontal="center"/>
    </xf>
    <xf numFmtId="0" fontId="0" fillId="4" borderId="0" xfId="0" applyFill="1"/>
    <xf numFmtId="0" fontId="0" fillId="4" borderId="0" xfId="0" applyFill="1" applyAlignment="1">
      <alignment horizont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3" borderId="0" xfId="0" applyFill="1" applyAlignment="1">
      <alignment horizontal="center"/>
    </xf>
    <xf numFmtId="0" fontId="0" fillId="3" borderId="7" xfId="0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9" fontId="0" fillId="0" borderId="1" xfId="1" applyFont="1" applyBorder="1"/>
    <xf numFmtId="0" fontId="0" fillId="0" borderId="11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2" xfId="0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Metode</a:t>
            </a:r>
            <a:r>
              <a:rPr lang="en-US" baseline="0"/>
              <a:t> Bagi Dua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Sheet1!$H$2</c:f>
              <c:strCache>
                <c:ptCount val="1"/>
                <c:pt idx="0">
                  <c:v>Xn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Sheet1!$E$3:$E$28</c:f>
              <c:numCache>
                <c:formatCode>General</c:formatCode>
                <c:ptCount val="2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</c:numCache>
            </c:numRef>
          </c:xVal>
          <c:yVal>
            <c:numRef>
              <c:f>Sheet1!$H$3:$H$28</c:f>
              <c:numCache>
                <c:formatCode>General</c:formatCode>
                <c:ptCount val="26"/>
                <c:pt idx="0">
                  <c:v>1.5</c:v>
                </c:pt>
                <c:pt idx="1">
                  <c:v>1.75</c:v>
                </c:pt>
                <c:pt idx="2">
                  <c:v>1.625</c:v>
                </c:pt>
                <c:pt idx="3">
                  <c:v>1.6875</c:v>
                </c:pt>
                <c:pt idx="4">
                  <c:v>1.71875</c:v>
                </c:pt>
                <c:pt idx="5">
                  <c:v>1.734375</c:v>
                </c:pt>
                <c:pt idx="6">
                  <c:v>1.7265625</c:v>
                </c:pt>
                <c:pt idx="7">
                  <c:v>1.73046875</c:v>
                </c:pt>
                <c:pt idx="8">
                  <c:v>1.732421875</c:v>
                </c:pt>
                <c:pt idx="9">
                  <c:v>1.7314453125</c:v>
                </c:pt>
                <c:pt idx="10">
                  <c:v>1.73193359375</c:v>
                </c:pt>
                <c:pt idx="11">
                  <c:v>1.732177734375</c:v>
                </c:pt>
                <c:pt idx="12">
                  <c:v>1.7320556640625</c:v>
                </c:pt>
                <c:pt idx="13">
                  <c:v>1.73199462890625</c:v>
                </c:pt>
                <c:pt idx="14">
                  <c:v>1.732025146484375</c:v>
                </c:pt>
                <c:pt idx="15">
                  <c:v>1.7320404052734375</c:v>
                </c:pt>
                <c:pt idx="16">
                  <c:v>1.7320480346679688</c:v>
                </c:pt>
                <c:pt idx="17">
                  <c:v>1.7320518493652344</c:v>
                </c:pt>
                <c:pt idx="18">
                  <c:v>1.7320499420166016</c:v>
                </c:pt>
                <c:pt idx="19">
                  <c:v>1.732050895690918</c:v>
                </c:pt>
                <c:pt idx="20">
                  <c:v>1.7320504188537598</c:v>
                </c:pt>
                <c:pt idx="21">
                  <c:v>1.7320506572723389</c:v>
                </c:pt>
                <c:pt idx="22">
                  <c:v>1.7320507764816284</c:v>
                </c:pt>
                <c:pt idx="23">
                  <c:v>1.7320508360862732</c:v>
                </c:pt>
                <c:pt idx="24">
                  <c:v>1.7320508062839508</c:v>
                </c:pt>
                <c:pt idx="25">
                  <c:v>1.732050821185112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CF4-4126-936D-3A39CBA2FF99}"/>
            </c:ext>
          </c:extLst>
        </c:ser>
        <c:dLbls>
          <c:dLblPos val="t"/>
          <c:showLegendKey val="0"/>
          <c:showVal val="0"/>
          <c:showCatName val="0"/>
          <c:showSerName val="0"/>
          <c:showPercent val="0"/>
          <c:showBubbleSize val="0"/>
        </c:dLbls>
        <c:axId val="1559762623"/>
        <c:axId val="1570179471"/>
      </c:scatterChart>
      <c:valAx>
        <c:axId val="15597626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Iterasi</a:t>
                </a:r>
              </a:p>
            </c:rich>
          </c:tx>
          <c:layout>
            <c:manualLayout>
              <c:xMode val="edge"/>
              <c:yMode val="edge"/>
              <c:x val="0.49341574803149607"/>
              <c:y val="0.8555322251385243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0179471"/>
        <c:crosses val="autoZero"/>
        <c:crossBetween val="midCat"/>
      </c:valAx>
      <c:valAx>
        <c:axId val="15701794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7626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Metode</a:t>
            </a:r>
            <a:r>
              <a:rPr lang="en-US" baseline="0"/>
              <a:t> Posisi Palsu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Sheet1!$W$2</c:f>
              <c:strCache>
                <c:ptCount val="1"/>
                <c:pt idx="0">
                  <c:v>Xn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Sheet1!$R$3:$R$11</c:f>
              <c:numCache>
                <c:formatCode>General</c:formatCode>
                <c:ptCount val="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</c:numCache>
            </c:numRef>
          </c:xVal>
          <c:yVal>
            <c:numRef>
              <c:f>Sheet1!$W$3:$W$11</c:f>
              <c:numCache>
                <c:formatCode>General</c:formatCode>
                <c:ptCount val="9"/>
                <c:pt idx="0">
                  <c:v>1.6666666666666665</c:v>
                </c:pt>
                <c:pt idx="1">
                  <c:v>1.7272727272727273</c:v>
                </c:pt>
                <c:pt idx="2">
                  <c:v>1.7317073170731707</c:v>
                </c:pt>
                <c:pt idx="3">
                  <c:v>1.7320261437908497</c:v>
                </c:pt>
                <c:pt idx="4">
                  <c:v>1.7320490367775832</c:v>
                </c:pt>
                <c:pt idx="5">
                  <c:v>1.7320506804317222</c:v>
                </c:pt>
                <c:pt idx="6">
                  <c:v>1.73205079844084</c:v>
                </c:pt>
                <c:pt idx="7">
                  <c:v>1.7320508069135137</c:v>
                </c:pt>
                <c:pt idx="8">
                  <c:v>1.7320508075218244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22D-4FA7-922E-64D27AB549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30424831"/>
        <c:axId val="1336952191"/>
      </c:scatterChart>
      <c:valAx>
        <c:axId val="14304248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Iterasi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6952191"/>
        <c:crosses val="autoZero"/>
        <c:crossBetween val="midCat"/>
      </c:valAx>
      <c:valAx>
        <c:axId val="13369521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04248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Metode</a:t>
            </a:r>
            <a:r>
              <a:rPr lang="en-US" baseline="0"/>
              <a:t> Newton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9442038495188095E-2"/>
          <c:y val="0.16708333333333336"/>
          <c:w val="0.8680719597550306"/>
          <c:h val="0.72088764946048411"/>
        </c:manualLayout>
      </c:layout>
      <c:scatterChart>
        <c:scatterStyle val="lineMarker"/>
        <c:varyColors val="0"/>
        <c:ser>
          <c:idx val="0"/>
          <c:order val="0"/>
          <c:tx>
            <c:strRef>
              <c:f>Sheet1!$AF$2</c:f>
              <c:strCache>
                <c:ptCount val="1"/>
                <c:pt idx="0">
                  <c:v>Xn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Sheet1!$AE$3:$AE$7</c:f>
              <c:numCache>
                <c:formatCode>General</c:formatCode>
                <c:ptCount val="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</c:numCache>
            </c:numRef>
          </c:xVal>
          <c:yVal>
            <c:numRef>
              <c:f>Sheet1!$AF$3:$AF$7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1.75</c:v>
                </c:pt>
                <c:pt idx="3">
                  <c:v>1.7321428571428572</c:v>
                </c:pt>
                <c:pt idx="4">
                  <c:v>1.7320508100147276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ACC-471C-8209-563922F32B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41408607"/>
        <c:axId val="1333649247"/>
      </c:scatterChart>
      <c:valAx>
        <c:axId val="14414086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Iterasi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3649247"/>
        <c:crosses val="autoZero"/>
        <c:crossBetween val="midCat"/>
      </c:valAx>
      <c:valAx>
        <c:axId val="13336492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140860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434672</xdr:colOff>
      <xdr:row>28</xdr:row>
      <xdr:rowOff>13211</xdr:rowOff>
    </xdr:from>
    <xdr:to>
      <xdr:col>13</xdr:col>
      <xdr:colOff>478315</xdr:colOff>
      <xdr:row>42</xdr:row>
      <xdr:rowOff>89411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CB4759D-5DE5-4A95-96D4-FCE29EC426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577102</xdr:colOff>
      <xdr:row>11</xdr:row>
      <xdr:rowOff>23532</xdr:rowOff>
    </xdr:from>
    <xdr:to>
      <xdr:col>27</xdr:col>
      <xdr:colOff>22411</xdr:colOff>
      <xdr:row>25</xdr:row>
      <xdr:rowOff>99732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9D0F741-5A00-4CDC-9231-AAE5AA1060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29</xdr:col>
      <xdr:colOff>530243</xdr:colOff>
      <xdr:row>7</xdr:row>
      <xdr:rowOff>27606</xdr:rowOff>
    </xdr:from>
    <xdr:to>
      <xdr:col>36</xdr:col>
      <xdr:colOff>350949</xdr:colOff>
      <xdr:row>22</xdr:row>
      <xdr:rowOff>26486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B3F3747-19ED-4319-93D0-128C7176FF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88F9F-A54C-4267-8ED3-1690845EB525}">
  <dimension ref="A1:AY29"/>
  <sheetViews>
    <sheetView tabSelected="1" zoomScale="85" zoomScaleNormal="85" workbookViewId="0">
      <selection activeCell="AS12" sqref="AS12"/>
    </sheetView>
  </sheetViews>
  <sheetFormatPr defaultRowHeight="15" x14ac:dyDescent="0.25"/>
  <cols>
    <col min="2" max="2" width="10.7109375" customWidth="1"/>
    <col min="12" max="12" width="11.5703125" customWidth="1"/>
    <col min="24" max="24" width="12.28515625" customWidth="1"/>
    <col min="25" max="25" width="13.5703125" customWidth="1"/>
    <col min="26" max="26" width="13.140625" customWidth="1"/>
    <col min="27" max="27" width="12.28515625" customWidth="1"/>
    <col min="35" max="35" width="15.7109375" customWidth="1"/>
    <col min="36" max="36" width="10" customWidth="1"/>
    <col min="44" max="44" width="13" customWidth="1"/>
    <col min="45" max="45" width="10.7109375" customWidth="1"/>
  </cols>
  <sheetData>
    <row r="1" spans="1:51" ht="76.5" x14ac:dyDescent="1.45">
      <c r="A1" s="20" t="s">
        <v>17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7"/>
      <c r="AR1" s="28"/>
      <c r="AS1" s="28"/>
      <c r="AT1" s="28"/>
      <c r="AU1" s="28"/>
      <c r="AV1" s="28"/>
      <c r="AW1" s="28"/>
      <c r="AX1" s="28"/>
      <c r="AY1" s="28"/>
    </row>
    <row r="2" spans="1:51" x14ac:dyDescent="0.25">
      <c r="A2" s="5" t="s">
        <v>0</v>
      </c>
      <c r="B2" s="6"/>
      <c r="C2" s="6"/>
      <c r="D2" s="6"/>
      <c r="E2" s="17" t="s">
        <v>11</v>
      </c>
      <c r="F2" s="17" t="s">
        <v>5</v>
      </c>
      <c r="G2" s="17" t="s">
        <v>6</v>
      </c>
      <c r="H2" s="23" t="s">
        <v>7</v>
      </c>
      <c r="I2" s="17" t="s">
        <v>8</v>
      </c>
      <c r="J2" s="17" t="s">
        <v>9</v>
      </c>
      <c r="K2" s="17" t="s">
        <v>10</v>
      </c>
      <c r="L2" s="17" t="s">
        <v>12</v>
      </c>
      <c r="M2" s="17" t="s">
        <v>13</v>
      </c>
      <c r="O2" s="2" t="s">
        <v>14</v>
      </c>
      <c r="P2" s="2"/>
      <c r="Q2" s="2"/>
      <c r="R2" s="17" t="s">
        <v>15</v>
      </c>
      <c r="S2" s="17" t="s">
        <v>5</v>
      </c>
      <c r="T2" s="17" t="s">
        <v>6</v>
      </c>
      <c r="U2" s="17" t="s">
        <v>8</v>
      </c>
      <c r="V2" s="17" t="s">
        <v>16</v>
      </c>
      <c r="W2" s="17" t="s">
        <v>7</v>
      </c>
      <c r="X2" s="17" t="s">
        <v>9</v>
      </c>
      <c r="Y2" s="17" t="s">
        <v>10</v>
      </c>
      <c r="Z2" s="17" t="s">
        <v>12</v>
      </c>
      <c r="AA2" s="17" t="s">
        <v>18</v>
      </c>
      <c r="AB2" s="2" t="s">
        <v>19</v>
      </c>
      <c r="AC2" s="2"/>
      <c r="AD2" s="2"/>
      <c r="AE2" s="18" t="s">
        <v>15</v>
      </c>
      <c r="AF2" s="18" t="s">
        <v>7</v>
      </c>
      <c r="AG2" s="18" t="s">
        <v>9</v>
      </c>
      <c r="AH2" s="18" t="s">
        <v>22</v>
      </c>
      <c r="AI2" s="17" t="s">
        <v>12</v>
      </c>
      <c r="AJ2" s="17" t="s">
        <v>13</v>
      </c>
      <c r="AK2" s="2" t="s">
        <v>23</v>
      </c>
      <c r="AL2" s="2"/>
      <c r="AM2" s="2"/>
      <c r="AN2" s="35"/>
      <c r="AO2" s="18" t="s">
        <v>15</v>
      </c>
      <c r="AP2" s="18" t="s">
        <v>7</v>
      </c>
      <c r="AQ2" s="18" t="s">
        <v>9</v>
      </c>
      <c r="AR2" s="37" t="s">
        <v>12</v>
      </c>
      <c r="AS2" s="37" t="s">
        <v>13</v>
      </c>
      <c r="AT2" s="36" t="s">
        <v>27</v>
      </c>
      <c r="AU2" s="19"/>
    </row>
    <row r="3" spans="1:51" x14ac:dyDescent="0.25">
      <c r="A3" s="10" t="s">
        <v>1</v>
      </c>
      <c r="B3" s="11"/>
      <c r="C3" s="11"/>
      <c r="D3" s="11"/>
      <c r="E3" s="7">
        <v>0</v>
      </c>
      <c r="F3" s="7">
        <v>1</v>
      </c>
      <c r="G3" s="7">
        <v>2</v>
      </c>
      <c r="H3" s="24">
        <f>(F3+G3)/2</f>
        <v>1.5</v>
      </c>
      <c r="I3" s="7">
        <f>(F3)^2-3</f>
        <v>-2</v>
      </c>
      <c r="J3" s="7">
        <f>(H3)^2-3</f>
        <v>-0.75</v>
      </c>
      <c r="K3" s="7">
        <f>I3*J3</f>
        <v>1.5</v>
      </c>
      <c r="L3" s="3"/>
      <c r="M3" s="16">
        <f>ABS(($C$5-H3)/$C$5)</f>
        <v>0.13394919168591224</v>
      </c>
      <c r="O3" s="8" t="s">
        <v>1</v>
      </c>
      <c r="P3" s="8"/>
      <c r="Q3" s="10"/>
      <c r="R3" s="7">
        <v>0</v>
      </c>
      <c r="S3" s="7">
        <v>1</v>
      </c>
      <c r="T3" s="7">
        <v>2</v>
      </c>
      <c r="U3" s="7">
        <f>S3^2-3</f>
        <v>-2</v>
      </c>
      <c r="V3" s="7">
        <f>T3^2-3</f>
        <v>1</v>
      </c>
      <c r="W3" s="7">
        <f>S3-((T3-S3)/(V3-U3))*U3</f>
        <v>1.6666666666666665</v>
      </c>
      <c r="X3" s="3">
        <f>W3^2-3</f>
        <v>-0.22222222222222276</v>
      </c>
      <c r="Y3" s="7">
        <f>U3*X3</f>
        <v>0.44444444444444553</v>
      </c>
      <c r="Z3" s="7"/>
      <c r="AA3" s="7">
        <f>ABS(($Q$5-W3)/$Q$5)</f>
        <v>3.7721324095458121E-2</v>
      </c>
      <c r="AB3" s="8" t="s">
        <v>1</v>
      </c>
      <c r="AC3" s="8"/>
      <c r="AD3" s="8"/>
      <c r="AE3" s="1">
        <v>0</v>
      </c>
      <c r="AF3" s="1">
        <f>AD5</f>
        <v>1</v>
      </c>
      <c r="AG3" s="1">
        <f>AF3^2-3</f>
        <v>-2</v>
      </c>
      <c r="AH3" s="1">
        <f>2*AF3</f>
        <v>2</v>
      </c>
      <c r="AI3" s="1"/>
      <c r="AJ3" s="1">
        <f>ABS(($AD$6-AF4)/$AD$6)</f>
        <v>0.15473441108545036</v>
      </c>
      <c r="AK3" s="29" t="s">
        <v>1</v>
      </c>
      <c r="AL3" s="30"/>
      <c r="AM3" s="30"/>
      <c r="AN3" s="7" t="s">
        <v>24</v>
      </c>
      <c r="AO3" s="7">
        <v>0</v>
      </c>
      <c r="AP3" s="7">
        <v>1</v>
      </c>
      <c r="AQ3" s="7">
        <f>AP3^2-3</f>
        <v>-2</v>
      </c>
      <c r="AR3" s="7"/>
      <c r="AS3" s="3">
        <f>ABS(($AM$7-AP3)/$AM$7)</f>
        <v>0.42263279445727481</v>
      </c>
      <c r="AT3" s="38"/>
      <c r="AU3" s="38">
        <f>AS3</f>
        <v>0.42263279445727481</v>
      </c>
    </row>
    <row r="4" spans="1:51" x14ac:dyDescent="0.25">
      <c r="A4" s="10" t="s">
        <v>2</v>
      </c>
      <c r="B4" s="12"/>
      <c r="C4" s="10" t="s">
        <v>3</v>
      </c>
      <c r="D4" s="11"/>
      <c r="E4" s="7">
        <v>1</v>
      </c>
      <c r="F4" s="7">
        <f>IF(K3&lt;0,F3,H3)</f>
        <v>1.5</v>
      </c>
      <c r="G4" s="7">
        <f>IF(K3&gt;0,G3,H3)</f>
        <v>2</v>
      </c>
      <c r="H4" s="24">
        <f>(F4+G4)/2</f>
        <v>1.75</v>
      </c>
      <c r="I4" s="7">
        <f>(F4)^2-3</f>
        <v>-0.75</v>
      </c>
      <c r="J4" s="7">
        <f>(H4)^2-3</f>
        <v>6.25E-2</v>
      </c>
      <c r="K4" s="7">
        <f>I4*J4</f>
        <v>-4.6875E-2</v>
      </c>
      <c r="L4" s="3">
        <f>ABS((H4-H3)/H4)</f>
        <v>0.14285714285714285</v>
      </c>
      <c r="M4" s="16">
        <f t="shared" ref="M4:M28" si="0">ABS(($C$5-H4)/$C$5)</f>
        <v>1.0392609699769063E-2</v>
      </c>
      <c r="O4" s="8" t="s">
        <v>2</v>
      </c>
      <c r="P4" s="8"/>
      <c r="Q4" s="21" t="s">
        <v>3</v>
      </c>
      <c r="R4" s="7">
        <v>1</v>
      </c>
      <c r="S4" s="7">
        <f>IF(Y3&lt;0,S3,W3)</f>
        <v>1.6666666666666665</v>
      </c>
      <c r="T4" s="7">
        <f>IF(Y3&gt;0,T3,W3)</f>
        <v>2</v>
      </c>
      <c r="U4" s="7">
        <f>S4^2-3</f>
        <v>-0.22222222222222276</v>
      </c>
      <c r="V4" s="7">
        <f>T4^2-3</f>
        <v>1</v>
      </c>
      <c r="W4" s="7">
        <f>S4-((T4-S4)/(V4-U4))*U4</f>
        <v>1.7272727272727273</v>
      </c>
      <c r="X4" s="3">
        <f>W4^2-3</f>
        <v>-1.6528925619834656E-2</v>
      </c>
      <c r="Y4" s="7">
        <f>U4*X4</f>
        <v>3.6730945821854882E-3</v>
      </c>
      <c r="Z4" s="7">
        <f>ABS((W4-W3)/W4)</f>
        <v>3.5087719298245709E-2</v>
      </c>
      <c r="AA4" s="7">
        <f t="shared" ref="AA4:AA11" si="1">ABS(($Q$5-W4)/$Q$5)</f>
        <v>2.7293722443837709E-3</v>
      </c>
      <c r="AB4" s="8" t="s">
        <v>20</v>
      </c>
      <c r="AC4" s="8"/>
      <c r="AD4" s="7"/>
      <c r="AE4" s="1">
        <v>1</v>
      </c>
      <c r="AF4" s="1">
        <f>AF3-(AG3/AH3)</f>
        <v>2</v>
      </c>
      <c r="AG4" s="1">
        <f>AF4^2-3</f>
        <v>1</v>
      </c>
      <c r="AH4" s="1">
        <f>2*AF4</f>
        <v>4</v>
      </c>
      <c r="AI4" s="26">
        <f>ABS((AF4-AF3)/AF4)</f>
        <v>0.5</v>
      </c>
      <c r="AJ4" s="1">
        <f t="shared" ref="AJ4:AJ7" si="2">ABS(($AD$6-AF5)/$AD$6)</f>
        <v>1.0392609699769063E-2</v>
      </c>
      <c r="AK4" s="31"/>
      <c r="AL4" s="32"/>
      <c r="AM4" s="32"/>
      <c r="AN4" s="7" t="s">
        <v>24</v>
      </c>
      <c r="AO4" s="7">
        <v>1</v>
      </c>
      <c r="AP4" s="7">
        <v>2</v>
      </c>
      <c r="AQ4" s="7">
        <f>AP4^2-3</f>
        <v>1</v>
      </c>
      <c r="AR4" s="7">
        <f>ABS((AP4-AP3)/AP4)</f>
        <v>0.5</v>
      </c>
      <c r="AS4" s="3">
        <f t="shared" ref="AS4:AS9" si="3">ABS(($AM$7-AP4)/$AM$7)</f>
        <v>0.15473441108545036</v>
      </c>
      <c r="AT4" s="38">
        <f>AR4</f>
        <v>0.5</v>
      </c>
      <c r="AU4" s="38">
        <f t="shared" ref="AU4:AU9" si="4">AS4</f>
        <v>0.15473441108545036</v>
      </c>
    </row>
    <row r="5" spans="1:51" x14ac:dyDescent="0.25">
      <c r="A5" s="10" t="s">
        <v>4</v>
      </c>
      <c r="B5" s="12"/>
      <c r="C5" s="14">
        <v>1.732</v>
      </c>
      <c r="D5" s="15"/>
      <c r="E5" s="7">
        <v>2</v>
      </c>
      <c r="F5" s="7">
        <f t="shared" ref="F5:F17" si="5">IF(K4&lt;0,F4,H4)</f>
        <v>1.5</v>
      </c>
      <c r="G5" s="7">
        <f t="shared" ref="G5:G17" si="6">IF(K4&gt;0,G4,H4)</f>
        <v>1.75</v>
      </c>
      <c r="H5" s="24">
        <f t="shared" ref="H5:H17" si="7">(F5+G5)/2</f>
        <v>1.625</v>
      </c>
      <c r="I5" s="7">
        <f t="shared" ref="I5:I17" si="8">(F5)^2-3</f>
        <v>-0.75</v>
      </c>
      <c r="J5" s="7">
        <f t="shared" ref="J5:J17" si="9">(H5)^2-3</f>
        <v>-0.359375</v>
      </c>
      <c r="K5" s="7">
        <f t="shared" ref="K5:K17" si="10">I5*J5</f>
        <v>0.26953125</v>
      </c>
      <c r="L5" s="3">
        <f t="shared" ref="L5:L28" si="11">ABS((H5-H4)/H5)</f>
        <v>7.6923076923076927E-2</v>
      </c>
      <c r="M5" s="16">
        <f t="shared" si="0"/>
        <v>6.1778290993071583E-2</v>
      </c>
      <c r="O5" s="8" t="s">
        <v>4</v>
      </c>
      <c r="P5" s="8"/>
      <c r="Q5" s="21">
        <v>1.732</v>
      </c>
      <c r="R5" s="7">
        <v>2</v>
      </c>
      <c r="S5" s="7">
        <f t="shared" ref="S5:S11" si="12">IF(Y4&lt;0,S4,W4)</f>
        <v>1.7272727272727273</v>
      </c>
      <c r="T5" s="7">
        <f t="shared" ref="T5:T11" si="13">IF(Y4&gt;0,T4,W4)</f>
        <v>2</v>
      </c>
      <c r="U5" s="7">
        <f t="shared" ref="U5:U11" si="14">S5^2-3</f>
        <v>-1.6528925619834656E-2</v>
      </c>
      <c r="V5" s="7">
        <f t="shared" ref="V5:V11" si="15">T5^2-3</f>
        <v>1</v>
      </c>
      <c r="W5" s="7">
        <f t="shared" ref="W5:W11" si="16">S5-((T5-S5)/(V5-U5))*U5</f>
        <v>1.7317073170731707</v>
      </c>
      <c r="X5" s="3">
        <f t="shared" ref="X5:X11" si="17">W5^2-3</f>
        <v>-1.1897679952408424E-3</v>
      </c>
      <c r="Y5" s="7">
        <f t="shared" ref="Y5:Y11" si="18">U5*X5</f>
        <v>1.9665586698195677E-5</v>
      </c>
      <c r="Z5" s="7">
        <f t="shared" ref="Z5:Z11" si="19">ABS((W5-W4)/W5)</f>
        <v>2.560819462227892E-3</v>
      </c>
      <c r="AA5" s="7">
        <f t="shared" si="1"/>
        <v>1.6898552357348068E-4</v>
      </c>
      <c r="AB5" s="8" t="s">
        <v>21</v>
      </c>
      <c r="AC5" s="8"/>
      <c r="AD5" s="7">
        <v>1</v>
      </c>
      <c r="AE5" s="1">
        <v>2</v>
      </c>
      <c r="AF5" s="1">
        <f t="shared" ref="AF5:AF8" si="20">AF4-(AG4/AH4)</f>
        <v>1.75</v>
      </c>
      <c r="AG5" s="1">
        <f t="shared" ref="AG5:AG8" si="21">AF5^2-3</f>
        <v>6.25E-2</v>
      </c>
      <c r="AH5" s="1">
        <f t="shared" ref="AH5:AH8" si="22">2*AF5</f>
        <v>3.5</v>
      </c>
      <c r="AI5" s="26">
        <f t="shared" ref="AI5:AI7" si="23">ABS((AF5-AF4)/AF5)</f>
        <v>0.14285714285714285</v>
      </c>
      <c r="AJ5" s="1">
        <f t="shared" si="2"/>
        <v>8.2481029363292314E-5</v>
      </c>
      <c r="AK5" s="31"/>
      <c r="AL5" s="32"/>
      <c r="AM5" s="32"/>
      <c r="AN5" s="7" t="s">
        <v>25</v>
      </c>
      <c r="AO5" s="7">
        <v>2</v>
      </c>
      <c r="AP5" s="7">
        <f>AP4-(((AQ4*(AP4-AP3))/(AQ4-AQ3)))</f>
        <v>1.6666666666666667</v>
      </c>
      <c r="AQ5" s="7">
        <f>AP5^2-3</f>
        <v>-0.22222222222222188</v>
      </c>
      <c r="AR5" s="7">
        <f t="shared" ref="AR5:AR9" si="24">ABS((AP5-AP4)/AP5)</f>
        <v>0.19999999999999996</v>
      </c>
      <c r="AS5" s="3">
        <f t="shared" si="3"/>
        <v>3.7721324095457996E-2</v>
      </c>
      <c r="AT5" s="38">
        <f t="shared" ref="AT5:AT9" si="25">AR5</f>
        <v>0.19999999999999996</v>
      </c>
      <c r="AU5" s="38">
        <f t="shared" si="4"/>
        <v>3.7721324095457996E-2</v>
      </c>
    </row>
    <row r="6" spans="1:51" x14ac:dyDescent="0.25">
      <c r="E6" s="7">
        <v>3</v>
      </c>
      <c r="F6" s="7">
        <f t="shared" si="5"/>
        <v>1.625</v>
      </c>
      <c r="G6" s="7">
        <f t="shared" si="6"/>
        <v>1.75</v>
      </c>
      <c r="H6" s="24">
        <f t="shared" si="7"/>
        <v>1.6875</v>
      </c>
      <c r="I6" s="7">
        <f t="shared" si="8"/>
        <v>-0.359375</v>
      </c>
      <c r="J6" s="7">
        <f t="shared" si="9"/>
        <v>-0.15234375</v>
      </c>
      <c r="K6" s="7">
        <f t="shared" si="10"/>
        <v>5.474853515625E-2</v>
      </c>
      <c r="L6" s="3">
        <f t="shared" si="11"/>
        <v>3.7037037037037035E-2</v>
      </c>
      <c r="M6" s="16">
        <f t="shared" si="0"/>
        <v>2.5692840646651262E-2</v>
      </c>
      <c r="R6" s="7">
        <v>3</v>
      </c>
      <c r="S6" s="7">
        <f t="shared" si="12"/>
        <v>1.7317073170731707</v>
      </c>
      <c r="T6" s="7">
        <f t="shared" si="13"/>
        <v>2</v>
      </c>
      <c r="U6" s="7">
        <f t="shared" si="14"/>
        <v>-1.1897679952408424E-3</v>
      </c>
      <c r="V6" s="7">
        <f t="shared" si="15"/>
        <v>1</v>
      </c>
      <c r="W6" s="7">
        <f t="shared" si="16"/>
        <v>1.7320261437908497</v>
      </c>
      <c r="X6" s="3">
        <f t="shared" si="17"/>
        <v>-8.5437224998763384E-5</v>
      </c>
      <c r="Y6" s="7">
        <f t="shared" si="18"/>
        <v>1.016504759057195E-7</v>
      </c>
      <c r="Z6" s="7">
        <f t="shared" si="19"/>
        <v>1.8407731247128416E-4</v>
      </c>
      <c r="AA6" s="7">
        <f t="shared" si="1"/>
        <v>1.5094567465215385E-5</v>
      </c>
      <c r="AB6" s="8" t="s">
        <v>4</v>
      </c>
      <c r="AC6" s="8"/>
      <c r="AD6" s="7">
        <v>1.732</v>
      </c>
      <c r="AE6" s="13">
        <v>3</v>
      </c>
      <c r="AF6" s="13">
        <f t="shared" si="20"/>
        <v>1.7321428571428572</v>
      </c>
      <c r="AG6" s="13">
        <f t="shared" si="21"/>
        <v>3.1887755102077975E-4</v>
      </c>
      <c r="AH6" s="13">
        <f t="shared" si="22"/>
        <v>3.4642857142857144</v>
      </c>
      <c r="AI6" s="26">
        <f t="shared" si="23"/>
        <v>1.0309278350515427E-2</v>
      </c>
      <c r="AJ6" s="1">
        <f t="shared" si="2"/>
        <v>2.9336036216870819E-5</v>
      </c>
      <c r="AK6" s="33"/>
      <c r="AL6" s="34"/>
      <c r="AM6" s="34"/>
      <c r="AN6" s="39"/>
      <c r="AO6" s="7">
        <v>3</v>
      </c>
      <c r="AP6" s="7">
        <f t="shared" ref="AP6:AP7" si="26">AP5-(((AQ5*(AP5-AP4))/(AQ5-AQ4)))</f>
        <v>1.7272727272727273</v>
      </c>
      <c r="AQ6" s="7">
        <f t="shared" ref="AQ6:AQ9" si="27">AP6^2-3</f>
        <v>-1.6528925619834656E-2</v>
      </c>
      <c r="AR6" s="7">
        <f t="shared" si="24"/>
        <v>3.5087719298245584E-2</v>
      </c>
      <c r="AS6" s="3">
        <f t="shared" si="3"/>
        <v>2.7293722443837709E-3</v>
      </c>
      <c r="AT6" s="38">
        <f t="shared" si="25"/>
        <v>3.5087719298245584E-2</v>
      </c>
      <c r="AU6" s="38">
        <f t="shared" si="4"/>
        <v>2.7293722443837709E-3</v>
      </c>
    </row>
    <row r="7" spans="1:51" x14ac:dyDescent="0.25">
      <c r="E7" s="7">
        <v>4</v>
      </c>
      <c r="F7" s="7">
        <f t="shared" si="5"/>
        <v>1.6875</v>
      </c>
      <c r="G7" s="7">
        <f t="shared" si="6"/>
        <v>1.75</v>
      </c>
      <c r="H7" s="24">
        <f t="shared" si="7"/>
        <v>1.71875</v>
      </c>
      <c r="I7" s="7">
        <f t="shared" si="8"/>
        <v>-0.15234375</v>
      </c>
      <c r="J7" s="7">
        <f t="shared" si="9"/>
        <v>-4.58984375E-2</v>
      </c>
      <c r="K7" s="7">
        <f t="shared" si="10"/>
        <v>6.992340087890625E-3</v>
      </c>
      <c r="L7" s="3">
        <f t="shared" si="11"/>
        <v>1.8181818181818181E-2</v>
      </c>
      <c r="M7" s="16">
        <f t="shared" si="0"/>
        <v>7.6501154734410996E-3</v>
      </c>
      <c r="R7" s="7">
        <v>4</v>
      </c>
      <c r="S7" s="7">
        <f t="shared" si="12"/>
        <v>1.7320261437908497</v>
      </c>
      <c r="T7" s="7">
        <f t="shared" si="13"/>
        <v>2</v>
      </c>
      <c r="U7" s="7">
        <f t="shared" si="14"/>
        <v>-8.5437224998763384E-5</v>
      </c>
      <c r="V7" s="7">
        <f t="shared" si="15"/>
        <v>1</v>
      </c>
      <c r="W7" s="7">
        <f t="shared" si="16"/>
        <v>1.7320490367775832</v>
      </c>
      <c r="X7" s="3">
        <f t="shared" si="17"/>
        <v>-6.1341978465634384E-6</v>
      </c>
      <c r="Y7" s="7">
        <f t="shared" si="18"/>
        <v>5.2408884160377034E-10</v>
      </c>
      <c r="Z7" s="7">
        <f t="shared" si="19"/>
        <v>1.3217285566005327E-5</v>
      </c>
      <c r="AA7" s="7">
        <f t="shared" si="1"/>
        <v>2.8312227242013177E-5</v>
      </c>
      <c r="AB7" s="1"/>
      <c r="AC7" s="1"/>
      <c r="AD7" s="1"/>
      <c r="AE7" s="13">
        <v>4</v>
      </c>
      <c r="AF7" s="13">
        <f t="shared" si="20"/>
        <v>1.7320508100147276</v>
      </c>
      <c r="AG7" s="13">
        <f t="shared" si="21"/>
        <v>8.4726741178542397E-9</v>
      </c>
      <c r="AH7" s="13">
        <f t="shared" si="22"/>
        <v>3.4641016200294552</v>
      </c>
      <c r="AI7" s="26">
        <f t="shared" si="23"/>
        <v>5.3143434128713205E-5</v>
      </c>
      <c r="AJ7" s="1">
        <f t="shared" si="2"/>
        <v>1</v>
      </c>
      <c r="AK7" s="9" t="s">
        <v>26</v>
      </c>
      <c r="AL7" s="9"/>
      <c r="AM7">
        <v>1.732</v>
      </c>
      <c r="AN7" s="40"/>
      <c r="AO7" s="7">
        <v>4</v>
      </c>
      <c r="AP7" s="7">
        <f t="shared" si="26"/>
        <v>1.7321428571428572</v>
      </c>
      <c r="AQ7" s="7">
        <f t="shared" si="27"/>
        <v>3.1887755102077975E-4</v>
      </c>
      <c r="AR7" s="7">
        <f t="shared" si="24"/>
        <v>2.811621368322424E-3</v>
      </c>
      <c r="AS7" s="3">
        <f t="shared" si="3"/>
        <v>8.2481029363292314E-5</v>
      </c>
      <c r="AT7" s="38">
        <f t="shared" si="25"/>
        <v>2.811621368322424E-3</v>
      </c>
      <c r="AU7" s="38">
        <f t="shared" si="4"/>
        <v>8.2481029363292314E-5</v>
      </c>
    </row>
    <row r="8" spans="1:51" x14ac:dyDescent="0.25">
      <c r="E8" s="7">
        <v>5</v>
      </c>
      <c r="F8" s="7">
        <f t="shared" si="5"/>
        <v>1.71875</v>
      </c>
      <c r="G8" s="7">
        <f t="shared" si="6"/>
        <v>1.75</v>
      </c>
      <c r="H8" s="24">
        <f t="shared" si="7"/>
        <v>1.734375</v>
      </c>
      <c r="I8" s="7">
        <f t="shared" si="8"/>
        <v>-4.58984375E-2</v>
      </c>
      <c r="J8" s="7">
        <f t="shared" si="9"/>
        <v>8.056640625E-3</v>
      </c>
      <c r="K8" s="7">
        <f t="shared" si="10"/>
        <v>-3.6978721618652344E-4</v>
      </c>
      <c r="L8" s="3">
        <f t="shared" si="11"/>
        <v>9.0090090090090089E-3</v>
      </c>
      <c r="M8" s="16">
        <f t="shared" si="0"/>
        <v>1.3712471131639816E-3</v>
      </c>
      <c r="R8" s="4">
        <v>5</v>
      </c>
      <c r="S8" s="4">
        <f t="shared" si="12"/>
        <v>1.7320490367775832</v>
      </c>
      <c r="T8" s="4">
        <f t="shared" si="13"/>
        <v>2</v>
      </c>
      <c r="U8" s="4">
        <f t="shared" si="14"/>
        <v>-6.1341978465634384E-6</v>
      </c>
      <c r="V8" s="4">
        <f t="shared" si="15"/>
        <v>1</v>
      </c>
      <c r="W8" s="4">
        <f t="shared" si="16"/>
        <v>1.7320506804317222</v>
      </c>
      <c r="X8" s="22">
        <f t="shared" si="17"/>
        <v>-4.4041600810729165E-7</v>
      </c>
      <c r="Y8" s="4">
        <f t="shared" si="18"/>
        <v>2.7015989285238144E-12</v>
      </c>
      <c r="Z8" s="7">
        <f t="shared" si="19"/>
        <v>9.4896422927224018E-7</v>
      </c>
      <c r="AA8" s="7">
        <f t="shared" si="1"/>
        <v>2.9261219239135781E-5</v>
      </c>
      <c r="AB8" s="1"/>
      <c r="AC8" s="1"/>
      <c r="AD8" s="1"/>
      <c r="AE8" s="1"/>
      <c r="AF8" s="1"/>
      <c r="AG8" s="1"/>
      <c r="AH8" s="1"/>
      <c r="AI8" s="1"/>
      <c r="AJ8" s="1"/>
      <c r="AN8" s="40"/>
      <c r="AO8" s="4">
        <v>5</v>
      </c>
      <c r="AP8" s="4">
        <f>AP7-(((AQ7*(AP7-AP6))/(AQ7-AQ6)))</f>
        <v>1.7320506804317222</v>
      </c>
      <c r="AQ8" s="4">
        <f>AP8^2-3</f>
        <v>-4.4041600810729165E-7</v>
      </c>
      <c r="AR8" s="7">
        <f t="shared" si="24"/>
        <v>5.32182528931911E-5</v>
      </c>
      <c r="AS8" s="3">
        <f t="shared" si="3"/>
        <v>2.9261219239135781E-5</v>
      </c>
      <c r="AT8" s="38">
        <f t="shared" si="25"/>
        <v>5.32182528931911E-5</v>
      </c>
      <c r="AU8" s="38">
        <f t="shared" si="4"/>
        <v>2.9261219239135781E-5</v>
      </c>
    </row>
    <row r="9" spans="1:51" x14ac:dyDescent="0.25">
      <c r="E9" s="7">
        <v>6</v>
      </c>
      <c r="F9" s="7">
        <f t="shared" si="5"/>
        <v>1.71875</v>
      </c>
      <c r="G9" s="7">
        <f t="shared" si="6"/>
        <v>1.734375</v>
      </c>
      <c r="H9" s="24">
        <f t="shared" si="7"/>
        <v>1.7265625</v>
      </c>
      <c r="I9" s="7">
        <f t="shared" si="8"/>
        <v>-4.58984375E-2</v>
      </c>
      <c r="J9" s="7">
        <f t="shared" si="9"/>
        <v>-1.898193359375E-2</v>
      </c>
      <c r="K9" s="7">
        <f t="shared" si="10"/>
        <v>8.7124109268188477E-4</v>
      </c>
      <c r="L9" s="3">
        <f t="shared" si="11"/>
        <v>4.5248868778280547E-3</v>
      </c>
      <c r="M9" s="16">
        <f t="shared" si="0"/>
        <v>3.139434180138559E-3</v>
      </c>
      <c r="R9" s="4">
        <v>6</v>
      </c>
      <c r="S9" s="4">
        <f t="shared" si="12"/>
        <v>1.7320506804317222</v>
      </c>
      <c r="T9" s="4">
        <f t="shared" si="13"/>
        <v>2</v>
      </c>
      <c r="U9" s="4">
        <f t="shared" si="14"/>
        <v>-4.4041600810729165E-7</v>
      </c>
      <c r="V9" s="4">
        <f t="shared" si="15"/>
        <v>1</v>
      </c>
      <c r="W9" s="4">
        <f t="shared" si="16"/>
        <v>1.73205079844084</v>
      </c>
      <c r="X9" s="22">
        <f t="shared" si="17"/>
        <v>-3.162044892590643E-8</v>
      </c>
      <c r="Y9" s="4">
        <f t="shared" si="18"/>
        <v>1.3926151890508208E-14</v>
      </c>
      <c r="Z9" s="7">
        <f t="shared" si="19"/>
        <v>6.8132596294082609E-8</v>
      </c>
      <c r="AA9" s="7">
        <f t="shared" si="1"/>
        <v>2.9329353833714888E-5</v>
      </c>
      <c r="AB9" s="1"/>
      <c r="AC9" s="1"/>
      <c r="AD9" s="1"/>
      <c r="AE9" s="1"/>
      <c r="AF9" s="1"/>
      <c r="AG9" s="1"/>
      <c r="AH9" s="1"/>
      <c r="AI9" s="1"/>
      <c r="AJ9" s="1"/>
      <c r="AN9" s="41"/>
      <c r="AO9" s="4">
        <v>6</v>
      </c>
      <c r="AP9" s="4">
        <f t="shared" ref="AP9" si="28">AP8-(((AQ8*(AP8-AP7))/(AQ8-AQ7)))</f>
        <v>1.732050807565499</v>
      </c>
      <c r="AQ9" s="4">
        <f t="shared" si="27"/>
        <v>-1.170263885796885E-11</v>
      </c>
      <c r="AR9" s="7">
        <f t="shared" si="24"/>
        <v>7.3400720281448455E-8</v>
      </c>
      <c r="AS9" s="3">
        <f t="shared" si="3"/>
        <v>2.9334622112599622E-5</v>
      </c>
      <c r="AT9" s="38">
        <f t="shared" si="25"/>
        <v>7.3400720281448455E-8</v>
      </c>
      <c r="AU9" s="38">
        <f t="shared" si="4"/>
        <v>2.9334622112599622E-5</v>
      </c>
    </row>
    <row r="10" spans="1:51" x14ac:dyDescent="0.25">
      <c r="E10" s="7">
        <v>7</v>
      </c>
      <c r="F10" s="7">
        <f t="shared" si="5"/>
        <v>1.7265625</v>
      </c>
      <c r="G10" s="7">
        <f t="shared" si="6"/>
        <v>1.734375</v>
      </c>
      <c r="H10" s="24">
        <f t="shared" si="7"/>
        <v>1.73046875</v>
      </c>
      <c r="I10" s="7">
        <f t="shared" si="8"/>
        <v>-1.898193359375E-2</v>
      </c>
      <c r="J10" s="7">
        <f t="shared" si="9"/>
        <v>-5.4779052734375E-3</v>
      </c>
      <c r="K10" s="7">
        <f t="shared" si="10"/>
        <v>1.0398123413324356E-4</v>
      </c>
      <c r="L10" s="3">
        <f t="shared" si="11"/>
        <v>2.257336343115124E-3</v>
      </c>
      <c r="M10" s="16">
        <f t="shared" si="0"/>
        <v>8.8409353348728871E-4</v>
      </c>
      <c r="R10" s="4">
        <v>7</v>
      </c>
      <c r="S10" s="4">
        <f t="shared" si="12"/>
        <v>1.73205079844084</v>
      </c>
      <c r="T10" s="4">
        <f t="shared" si="13"/>
        <v>2</v>
      </c>
      <c r="U10" s="4">
        <f t="shared" si="14"/>
        <v>-3.162044892590643E-8</v>
      </c>
      <c r="V10" s="4">
        <f t="shared" si="15"/>
        <v>1</v>
      </c>
      <c r="W10" s="4">
        <f t="shared" si="16"/>
        <v>1.7320508069135137</v>
      </c>
      <c r="X10" s="22">
        <f t="shared" si="17"/>
        <v>-2.2702462132428991E-9</v>
      </c>
      <c r="Y10" s="4">
        <f t="shared" si="18"/>
        <v>7.178620443507957E-17</v>
      </c>
      <c r="Z10" s="7">
        <f t="shared" si="19"/>
        <v>4.8917004281549894E-9</v>
      </c>
      <c r="AA10" s="7">
        <f t="shared" si="1"/>
        <v>2.9334245677637384E-5</v>
      </c>
      <c r="AB10" s="1"/>
      <c r="AC10" s="1"/>
      <c r="AD10" s="1"/>
      <c r="AE10" s="1"/>
      <c r="AF10" s="1"/>
      <c r="AG10" s="1"/>
      <c r="AH10" s="1"/>
      <c r="AI10" s="1"/>
      <c r="AJ10" s="1"/>
      <c r="AN10" s="1"/>
      <c r="AO10" s="1"/>
      <c r="AP10" s="1"/>
      <c r="AQ10" s="1"/>
      <c r="AR10" s="1"/>
    </row>
    <row r="11" spans="1:51" x14ac:dyDescent="0.25">
      <c r="E11" s="7">
        <v>8</v>
      </c>
      <c r="F11" s="7">
        <f t="shared" si="5"/>
        <v>1.73046875</v>
      </c>
      <c r="G11" s="7">
        <f t="shared" si="6"/>
        <v>1.734375</v>
      </c>
      <c r="H11" s="24">
        <f t="shared" si="7"/>
        <v>1.732421875</v>
      </c>
      <c r="I11" s="7">
        <f t="shared" si="8"/>
        <v>-5.4779052734375E-3</v>
      </c>
      <c r="J11" s="7">
        <f t="shared" si="9"/>
        <v>1.285552978515625E-3</v>
      </c>
      <c r="K11" s="7">
        <f t="shared" si="10"/>
        <v>-7.0421374402940273E-6</v>
      </c>
      <c r="L11" s="3">
        <f t="shared" si="11"/>
        <v>1.1273957158962795E-3</v>
      </c>
      <c r="M11" s="16">
        <f t="shared" si="0"/>
        <v>2.4357678983834641E-4</v>
      </c>
      <c r="R11" s="4">
        <v>8</v>
      </c>
      <c r="S11" s="4">
        <f t="shared" si="12"/>
        <v>1.7320508069135137</v>
      </c>
      <c r="T11" s="4">
        <f t="shared" si="13"/>
        <v>2</v>
      </c>
      <c r="U11" s="4">
        <f t="shared" si="14"/>
        <v>-2.2702462132428991E-9</v>
      </c>
      <c r="V11" s="4">
        <f t="shared" si="15"/>
        <v>1</v>
      </c>
      <c r="W11" s="4">
        <f t="shared" si="16"/>
        <v>1.7320508075218244</v>
      </c>
      <c r="X11" s="22">
        <f t="shared" si="17"/>
        <v>-1.6299583904810788E-10</v>
      </c>
      <c r="Y11" s="4">
        <f t="shared" si="18"/>
        <v>3.7004068637331599E-19</v>
      </c>
      <c r="Z11" s="7">
        <f t="shared" si="19"/>
        <v>3.5120836668048594E-10</v>
      </c>
      <c r="AA11" s="7">
        <f t="shared" si="1"/>
        <v>2.933459689630662E-5</v>
      </c>
      <c r="AB11" s="1"/>
      <c r="AC11" s="1"/>
      <c r="AD11" s="1"/>
      <c r="AE11" s="1"/>
      <c r="AF11" s="1"/>
      <c r="AG11" s="1"/>
      <c r="AH11" s="1"/>
      <c r="AI11" s="1"/>
      <c r="AJ11" s="1"/>
      <c r="AN11" s="1"/>
      <c r="AO11" s="1"/>
      <c r="AP11" s="1"/>
      <c r="AQ11" s="1"/>
      <c r="AR11" s="1"/>
    </row>
    <row r="12" spans="1:51" x14ac:dyDescent="0.25">
      <c r="E12" s="7">
        <v>9</v>
      </c>
      <c r="F12" s="7">
        <f t="shared" si="5"/>
        <v>1.73046875</v>
      </c>
      <c r="G12" s="7">
        <f t="shared" si="6"/>
        <v>1.732421875</v>
      </c>
      <c r="H12" s="24">
        <f t="shared" si="7"/>
        <v>1.7314453125</v>
      </c>
      <c r="I12" s="7">
        <f t="shared" si="8"/>
        <v>-5.4779052734375E-3</v>
      </c>
      <c r="J12" s="7">
        <f t="shared" si="9"/>
        <v>-2.0971298217773438E-3</v>
      </c>
      <c r="K12" s="7">
        <f t="shared" si="10"/>
        <v>1.1487878509797156E-5</v>
      </c>
      <c r="L12" s="3">
        <f t="shared" si="11"/>
        <v>5.6401579244218843E-4</v>
      </c>
      <c r="M12" s="16">
        <f t="shared" si="0"/>
        <v>3.2025837182447114E-4</v>
      </c>
      <c r="AB12" s="1"/>
      <c r="AC12" s="1"/>
      <c r="AD12" s="1"/>
      <c r="AE12" s="1"/>
      <c r="AF12" s="1"/>
      <c r="AG12" s="1"/>
      <c r="AH12" s="1"/>
      <c r="AI12" s="1"/>
      <c r="AJ12" s="1"/>
      <c r="AN12" s="1"/>
      <c r="AO12" s="1"/>
      <c r="AP12" s="1"/>
      <c r="AQ12" s="1"/>
      <c r="AR12" s="1"/>
    </row>
    <row r="13" spans="1:51" x14ac:dyDescent="0.25">
      <c r="E13" s="7">
        <v>10</v>
      </c>
      <c r="F13" s="7">
        <f t="shared" si="5"/>
        <v>1.7314453125</v>
      </c>
      <c r="G13" s="7">
        <f t="shared" si="6"/>
        <v>1.732421875</v>
      </c>
      <c r="H13" s="24">
        <f t="shared" si="7"/>
        <v>1.73193359375</v>
      </c>
      <c r="I13" s="7">
        <f t="shared" si="8"/>
        <v>-2.0971298217773438E-3</v>
      </c>
      <c r="J13" s="7">
        <f t="shared" si="9"/>
        <v>-4.0602684020996094E-4</v>
      </c>
      <c r="K13" s="7">
        <f t="shared" si="10"/>
        <v>8.5149099504633341E-7</v>
      </c>
      <c r="L13" s="3">
        <f t="shared" si="11"/>
        <v>2.8192839018889202E-4</v>
      </c>
      <c r="M13" s="16">
        <f t="shared" si="0"/>
        <v>3.8340790993062366E-5</v>
      </c>
      <c r="AB13" s="1"/>
      <c r="AC13" s="1"/>
      <c r="AD13" s="1"/>
      <c r="AE13" s="1"/>
      <c r="AF13" s="1"/>
      <c r="AG13" s="1"/>
      <c r="AH13" s="1"/>
      <c r="AI13" s="1"/>
      <c r="AJ13" s="1"/>
      <c r="AN13" s="1"/>
      <c r="AO13" s="1"/>
      <c r="AP13" s="1"/>
      <c r="AQ13" s="1"/>
      <c r="AR13" s="1"/>
    </row>
    <row r="14" spans="1:51" x14ac:dyDescent="0.25">
      <c r="E14" s="7">
        <v>11</v>
      </c>
      <c r="F14" s="7">
        <f t="shared" si="5"/>
        <v>1.73193359375</v>
      </c>
      <c r="G14" s="7">
        <f t="shared" si="6"/>
        <v>1.732421875</v>
      </c>
      <c r="H14" s="24">
        <f t="shared" si="7"/>
        <v>1.732177734375</v>
      </c>
      <c r="I14" s="7">
        <f t="shared" si="8"/>
        <v>-4.0602684020996094E-4</v>
      </c>
      <c r="J14" s="7">
        <f t="shared" si="9"/>
        <v>4.3970346450805664E-4</v>
      </c>
      <c r="K14" s="7">
        <f t="shared" si="10"/>
        <v>-1.7853140832357894E-7</v>
      </c>
      <c r="L14" s="3">
        <f t="shared" si="11"/>
        <v>1.4094432699083862E-4</v>
      </c>
      <c r="M14" s="16">
        <f t="shared" si="0"/>
        <v>1.0261799942264203E-4</v>
      </c>
      <c r="AB14" s="1"/>
      <c r="AC14" s="1"/>
      <c r="AD14" s="1"/>
      <c r="AE14" s="1"/>
      <c r="AF14" s="1"/>
      <c r="AG14" s="1"/>
      <c r="AH14" s="1"/>
      <c r="AI14" s="1"/>
      <c r="AJ14" s="1"/>
      <c r="AN14" s="1"/>
      <c r="AO14" s="1"/>
      <c r="AP14" s="1"/>
      <c r="AQ14" s="1"/>
      <c r="AR14" s="1"/>
    </row>
    <row r="15" spans="1:51" x14ac:dyDescent="0.25">
      <c r="E15" s="7">
        <v>12</v>
      </c>
      <c r="F15" s="7">
        <f t="shared" si="5"/>
        <v>1.73193359375</v>
      </c>
      <c r="G15" s="7">
        <f t="shared" si="6"/>
        <v>1.732177734375</v>
      </c>
      <c r="H15" s="24">
        <f t="shared" si="7"/>
        <v>1.7320556640625</v>
      </c>
      <c r="I15" s="7">
        <f t="shared" si="8"/>
        <v>-4.0602684020996094E-4</v>
      </c>
      <c r="J15" s="7">
        <f t="shared" si="9"/>
        <v>1.6823410987854004E-5</v>
      </c>
      <c r="K15" s="7">
        <f t="shared" si="10"/>
        <v>-6.8307564049518987E-9</v>
      </c>
      <c r="L15" s="3">
        <f t="shared" si="11"/>
        <v>7.0477130171259429E-5</v>
      </c>
      <c r="M15" s="16">
        <f t="shared" si="0"/>
        <v>3.2138604214789831E-5</v>
      </c>
      <c r="AB15" s="1"/>
      <c r="AC15" s="1"/>
      <c r="AD15" s="1"/>
      <c r="AE15" s="1"/>
      <c r="AF15" s="1"/>
      <c r="AG15" s="1"/>
      <c r="AH15" s="1"/>
      <c r="AI15" s="1"/>
      <c r="AJ15" s="1"/>
      <c r="AN15" s="1"/>
      <c r="AO15" s="1"/>
      <c r="AP15" s="1"/>
      <c r="AQ15" s="1"/>
      <c r="AR15" s="1"/>
    </row>
    <row r="16" spans="1:51" x14ac:dyDescent="0.25">
      <c r="E16" s="7">
        <v>13</v>
      </c>
      <c r="F16" s="7">
        <f t="shared" si="5"/>
        <v>1.73193359375</v>
      </c>
      <c r="G16" s="7">
        <f t="shared" si="6"/>
        <v>1.7320556640625</v>
      </c>
      <c r="H16" s="24">
        <f t="shared" si="7"/>
        <v>1.73199462890625</v>
      </c>
      <c r="I16" s="7">
        <f t="shared" si="8"/>
        <v>-4.0602684020996094E-4</v>
      </c>
      <c r="J16" s="7">
        <f t="shared" si="9"/>
        <v>-1.9460543990135193E-4</v>
      </c>
      <c r="K16" s="7">
        <f t="shared" si="10"/>
        <v>7.9015031850815376E-8</v>
      </c>
      <c r="L16" s="3">
        <f t="shared" si="11"/>
        <v>3.5239806885858265E-5</v>
      </c>
      <c r="M16" s="16">
        <f t="shared" si="0"/>
        <v>3.1010933891362659E-6</v>
      </c>
      <c r="AB16" s="1"/>
      <c r="AC16" s="1"/>
      <c r="AD16" s="1"/>
      <c r="AE16" s="1"/>
      <c r="AF16" s="1"/>
      <c r="AG16" s="1"/>
      <c r="AH16" s="1"/>
      <c r="AI16" s="1"/>
      <c r="AJ16" s="1"/>
      <c r="AN16" s="1"/>
      <c r="AO16" s="1"/>
      <c r="AP16" s="1"/>
      <c r="AQ16" s="1"/>
      <c r="AR16" s="1"/>
    </row>
    <row r="17" spans="5:44" x14ac:dyDescent="0.25">
      <c r="E17" s="7">
        <v>14</v>
      </c>
      <c r="F17" s="7">
        <f t="shared" si="5"/>
        <v>1.73199462890625</v>
      </c>
      <c r="G17" s="7">
        <f t="shared" si="6"/>
        <v>1.7320556640625</v>
      </c>
      <c r="H17" s="24">
        <f t="shared" si="7"/>
        <v>1.732025146484375</v>
      </c>
      <c r="I17" s="7">
        <f t="shared" si="8"/>
        <v>-1.9460543990135193E-4</v>
      </c>
      <c r="J17" s="7">
        <f t="shared" si="9"/>
        <v>-8.8891945779323578E-5</v>
      </c>
      <c r="K17" s="7">
        <f t="shared" si="10"/>
        <v>1.7298856212072389E-8</v>
      </c>
      <c r="L17" s="3">
        <f t="shared" si="11"/>
        <v>1.7619592987401992E-5</v>
      </c>
      <c r="M17" s="16">
        <f t="shared" si="0"/>
        <v>1.4518755412826783E-5</v>
      </c>
      <c r="AB17" s="1"/>
      <c r="AC17" s="1"/>
      <c r="AD17" s="1"/>
      <c r="AE17" s="1"/>
      <c r="AF17" s="1"/>
      <c r="AG17" s="1"/>
      <c r="AH17" s="1"/>
      <c r="AI17" s="1"/>
      <c r="AJ17" s="1"/>
      <c r="AN17" s="1"/>
      <c r="AO17" s="1"/>
      <c r="AP17" s="1"/>
      <c r="AQ17" s="1"/>
      <c r="AR17" s="1"/>
    </row>
    <row r="18" spans="5:44" x14ac:dyDescent="0.25">
      <c r="E18" s="7">
        <v>15</v>
      </c>
      <c r="F18" s="7">
        <f>IF(K17&lt;0,F17,H17)</f>
        <v>1.732025146484375</v>
      </c>
      <c r="G18" s="7">
        <f>IF(K17&gt;0,G17,H17)</f>
        <v>1.7320556640625</v>
      </c>
      <c r="H18" s="24">
        <f>(F18+G18)/2</f>
        <v>1.7320404052734375</v>
      </c>
      <c r="I18" s="7">
        <f>(F18)^2-3</f>
        <v>-8.8891945779323578E-5</v>
      </c>
      <c r="J18" s="7">
        <f>(H18)^2-3</f>
        <v>-3.6034500226378441E-5</v>
      </c>
      <c r="K18" s="7">
        <f>I18*J18</f>
        <v>3.2031768403082556E-9</v>
      </c>
      <c r="L18" s="3">
        <f t="shared" si="11"/>
        <v>8.8097188818704796E-6</v>
      </c>
      <c r="M18" s="16">
        <f t="shared" si="0"/>
        <v>2.3328679813808309E-5</v>
      </c>
      <c r="AB18" s="1"/>
      <c r="AC18" s="1"/>
      <c r="AD18" s="1"/>
      <c r="AE18" s="1"/>
      <c r="AF18" s="1"/>
      <c r="AG18" s="1"/>
      <c r="AH18" s="1"/>
      <c r="AI18" s="1"/>
      <c r="AJ18" s="1"/>
      <c r="AN18" s="1"/>
      <c r="AO18" s="1"/>
      <c r="AP18" s="1"/>
      <c r="AQ18" s="1"/>
      <c r="AR18" s="1"/>
    </row>
    <row r="19" spans="5:44" x14ac:dyDescent="0.25">
      <c r="E19" s="7">
        <v>16</v>
      </c>
      <c r="F19" s="7">
        <f t="shared" ref="F19:F28" si="29">IF(K18&lt;0,F18,H18)</f>
        <v>1.7320404052734375</v>
      </c>
      <c r="G19" s="7">
        <f t="shared" ref="G19:G28" si="30">IF(K18&gt;0,G18,H18)</f>
        <v>1.7320556640625</v>
      </c>
      <c r="H19" s="24">
        <f t="shared" ref="H19:H28" si="31">(F19+G19)/2</f>
        <v>1.7320480346679688</v>
      </c>
      <c r="I19" s="7">
        <f t="shared" ref="I19:I28" si="32">(F19)^2-3</f>
        <v>-3.6034500226378441E-5</v>
      </c>
      <c r="J19" s="7">
        <f t="shared" ref="J19:J28" si="33">(H19)^2-3</f>
        <v>-9.6056028269231319E-6</v>
      </c>
      <c r="K19" s="7">
        <f t="shared" ref="K19:K28" si="34">I19*J19</f>
        <v>3.4613309724126299E-10</v>
      </c>
      <c r="L19" s="3">
        <f t="shared" si="11"/>
        <v>4.4048400382340118E-6</v>
      </c>
      <c r="M19" s="16">
        <f t="shared" si="0"/>
        <v>2.7733642014299068E-5</v>
      </c>
      <c r="AB19" s="1"/>
      <c r="AC19" s="1"/>
      <c r="AD19" s="1"/>
      <c r="AE19" s="1"/>
      <c r="AF19" s="1"/>
      <c r="AG19" s="1"/>
      <c r="AH19" s="1"/>
      <c r="AI19" s="1"/>
      <c r="AJ19" s="1"/>
      <c r="AN19" s="1"/>
      <c r="AO19" s="1"/>
      <c r="AP19" s="1"/>
      <c r="AQ19" s="1"/>
      <c r="AR19" s="1"/>
    </row>
    <row r="20" spans="5:44" x14ac:dyDescent="0.25">
      <c r="E20" s="7">
        <v>17</v>
      </c>
      <c r="F20" s="7">
        <f t="shared" si="29"/>
        <v>1.7320480346679688</v>
      </c>
      <c r="G20" s="7">
        <f t="shared" si="30"/>
        <v>1.7320556640625</v>
      </c>
      <c r="H20" s="24">
        <f t="shared" si="31"/>
        <v>1.7320518493652344</v>
      </c>
      <c r="I20" s="7">
        <f t="shared" si="32"/>
        <v>-9.6056028269231319E-6</v>
      </c>
      <c r="J20" s="7">
        <f t="shared" si="33"/>
        <v>3.6088895285502076E-6</v>
      </c>
      <c r="K20" s="7">
        <f t="shared" si="34"/>
        <v>-3.4665559457495163E-11</v>
      </c>
      <c r="L20" s="3">
        <f t="shared" si="11"/>
        <v>2.2024151684737483E-6</v>
      </c>
      <c r="M20" s="16">
        <f t="shared" si="0"/>
        <v>2.9936123114544451E-5</v>
      </c>
      <c r="AB20" s="1"/>
      <c r="AC20" s="1"/>
      <c r="AD20" s="1"/>
      <c r="AE20" s="1"/>
      <c r="AF20" s="1"/>
      <c r="AG20" s="1"/>
      <c r="AH20" s="1"/>
      <c r="AI20" s="1"/>
      <c r="AJ20" s="1"/>
      <c r="AN20" s="1"/>
      <c r="AO20" s="1"/>
      <c r="AP20" s="1"/>
      <c r="AQ20" s="1"/>
      <c r="AR20" s="1"/>
    </row>
    <row r="21" spans="5:44" x14ac:dyDescent="0.25">
      <c r="E21" s="7">
        <v>18</v>
      </c>
      <c r="F21" s="7">
        <f t="shared" si="29"/>
        <v>1.7320480346679688</v>
      </c>
      <c r="G21" s="7">
        <f t="shared" si="30"/>
        <v>1.7320518493652344</v>
      </c>
      <c r="H21" s="24">
        <f t="shared" si="31"/>
        <v>1.7320499420166016</v>
      </c>
      <c r="I21" s="7">
        <f t="shared" si="32"/>
        <v>-9.6056028269231319E-6</v>
      </c>
      <c r="J21" s="7">
        <f t="shared" si="33"/>
        <v>-2.9983602871652693E-6</v>
      </c>
      <c r="K21" s="7">
        <f t="shared" si="34"/>
        <v>2.8801058050528764E-11</v>
      </c>
      <c r="L21" s="3">
        <f t="shared" si="11"/>
        <v>1.1012087968963532E-6</v>
      </c>
      <c r="M21" s="16">
        <f t="shared" si="0"/>
        <v>2.8834882564421761E-5</v>
      </c>
      <c r="AB21" s="1"/>
      <c r="AC21" s="1"/>
      <c r="AD21" s="1"/>
      <c r="AE21" s="1"/>
      <c r="AF21" s="1"/>
      <c r="AG21" s="1"/>
      <c r="AH21" s="1"/>
      <c r="AI21" s="1"/>
      <c r="AJ21" s="1"/>
      <c r="AN21" s="1"/>
      <c r="AO21" s="1"/>
      <c r="AP21" s="1"/>
      <c r="AQ21" s="1"/>
      <c r="AR21" s="1"/>
    </row>
    <row r="22" spans="5:44" x14ac:dyDescent="0.25">
      <c r="E22" s="7">
        <v>19</v>
      </c>
      <c r="F22" s="7">
        <f t="shared" si="29"/>
        <v>1.7320499420166016</v>
      </c>
      <c r="G22" s="7">
        <f t="shared" si="30"/>
        <v>1.7320518493652344</v>
      </c>
      <c r="H22" s="24">
        <f t="shared" si="31"/>
        <v>1.732050895690918</v>
      </c>
      <c r="I22" s="7">
        <f t="shared" si="32"/>
        <v>-2.9983602871652693E-6</v>
      </c>
      <c r="J22" s="7">
        <f t="shared" si="33"/>
        <v>3.0526371119776741E-7</v>
      </c>
      <c r="K22" s="7">
        <f t="shared" si="34"/>
        <v>-9.152905887680737E-13</v>
      </c>
      <c r="L22" s="3">
        <f t="shared" si="11"/>
        <v>5.5060409528313993E-7</v>
      </c>
      <c r="M22" s="16">
        <f t="shared" si="0"/>
        <v>2.9385502839483106E-5</v>
      </c>
      <c r="AB22" s="1"/>
      <c r="AC22" s="1"/>
      <c r="AD22" s="1"/>
      <c r="AE22" s="1"/>
      <c r="AF22" s="1"/>
      <c r="AG22" s="1"/>
      <c r="AH22" s="1"/>
      <c r="AI22" s="1"/>
      <c r="AJ22" s="1"/>
      <c r="AN22" s="1"/>
      <c r="AO22" s="1"/>
      <c r="AP22" s="1"/>
      <c r="AQ22" s="1"/>
      <c r="AR22" s="1"/>
    </row>
    <row r="23" spans="5:44" x14ac:dyDescent="0.25">
      <c r="E23" s="7">
        <v>20</v>
      </c>
      <c r="F23" s="7">
        <f t="shared" si="29"/>
        <v>1.7320499420166016</v>
      </c>
      <c r="G23" s="7">
        <f t="shared" si="30"/>
        <v>1.732050895690918</v>
      </c>
      <c r="H23" s="24">
        <f t="shared" si="31"/>
        <v>1.7320504188537598</v>
      </c>
      <c r="I23" s="7">
        <f t="shared" si="32"/>
        <v>-2.9983602871652693E-6</v>
      </c>
      <c r="J23" s="7">
        <f t="shared" si="33"/>
        <v>-1.3465485153574264E-6</v>
      </c>
      <c r="K23" s="7">
        <f t="shared" si="34"/>
        <v>4.0374375931890599E-12</v>
      </c>
      <c r="L23" s="3">
        <f t="shared" si="11"/>
        <v>2.7530212343280827E-7</v>
      </c>
      <c r="M23" s="16">
        <f t="shared" si="0"/>
        <v>2.9110192701952432E-5</v>
      </c>
      <c r="AB23" s="1"/>
      <c r="AC23" s="1"/>
      <c r="AD23" s="1"/>
      <c r="AE23" s="1"/>
      <c r="AF23" s="1"/>
      <c r="AG23" s="1"/>
      <c r="AH23" s="1"/>
      <c r="AI23" s="1"/>
      <c r="AJ23" s="1"/>
    </row>
    <row r="24" spans="5:44" x14ac:dyDescent="0.25">
      <c r="E24" s="4">
        <v>21</v>
      </c>
      <c r="F24" s="4">
        <f t="shared" si="29"/>
        <v>1.7320504188537598</v>
      </c>
      <c r="G24" s="4">
        <f t="shared" si="30"/>
        <v>1.732050895690918</v>
      </c>
      <c r="H24" s="25">
        <f t="shared" si="31"/>
        <v>1.7320506572723389</v>
      </c>
      <c r="I24" s="4">
        <f t="shared" si="32"/>
        <v>-1.3465485153574264E-6</v>
      </c>
      <c r="J24" s="4">
        <f t="shared" si="33"/>
        <v>-5.2064245892324834E-7</v>
      </c>
      <c r="K24" s="4">
        <f t="shared" si="34"/>
        <v>7.010703300951399E-13</v>
      </c>
      <c r="L24" s="3">
        <f t="shared" si="11"/>
        <v>1.3765104276859194E-7</v>
      </c>
      <c r="M24" s="16">
        <f t="shared" si="0"/>
        <v>2.9247847770717769E-5</v>
      </c>
      <c r="AB24" s="1"/>
      <c r="AC24" s="1"/>
      <c r="AD24" s="1"/>
      <c r="AE24" s="1"/>
      <c r="AF24" s="1"/>
      <c r="AG24" s="1"/>
      <c r="AH24" s="1"/>
      <c r="AI24" s="1"/>
      <c r="AJ24" s="1"/>
    </row>
    <row r="25" spans="5:44" x14ac:dyDescent="0.25">
      <c r="E25" s="4">
        <v>22</v>
      </c>
      <c r="F25" s="4">
        <f t="shared" si="29"/>
        <v>1.7320506572723389</v>
      </c>
      <c r="G25" s="4">
        <f t="shared" si="30"/>
        <v>1.732050895690918</v>
      </c>
      <c r="H25" s="25">
        <f t="shared" si="31"/>
        <v>1.7320507764816284</v>
      </c>
      <c r="I25" s="4">
        <f t="shared" si="32"/>
        <v>-5.2064245892324834E-7</v>
      </c>
      <c r="J25" s="4">
        <f t="shared" si="33"/>
        <v>-1.0768938807359518E-7</v>
      </c>
      <c r="K25" s="4">
        <f t="shared" si="34"/>
        <v>5.606766780657653E-14</v>
      </c>
      <c r="L25" s="3">
        <f t="shared" si="11"/>
        <v>6.8825516647343899E-8</v>
      </c>
      <c r="M25" s="16">
        <f t="shared" si="0"/>
        <v>2.9316675305100436E-5</v>
      </c>
      <c r="AB25" s="1"/>
      <c r="AC25" s="1"/>
      <c r="AD25" s="1"/>
      <c r="AE25" s="1"/>
      <c r="AF25" s="1"/>
      <c r="AG25" s="1"/>
      <c r="AH25" s="1"/>
      <c r="AI25" s="1"/>
      <c r="AJ25" s="1"/>
    </row>
    <row r="26" spans="5:44" x14ac:dyDescent="0.25">
      <c r="E26" s="4">
        <v>23</v>
      </c>
      <c r="F26" s="4">
        <f t="shared" si="29"/>
        <v>1.7320507764816284</v>
      </c>
      <c r="G26" s="4">
        <f t="shared" si="30"/>
        <v>1.732050895690918</v>
      </c>
      <c r="H26" s="25">
        <f t="shared" si="31"/>
        <v>1.7320508360862732</v>
      </c>
      <c r="I26" s="4">
        <f t="shared" si="32"/>
        <v>-1.0768938807359518E-7</v>
      </c>
      <c r="J26" s="4">
        <f t="shared" si="33"/>
        <v>9.8787158009372433E-8</v>
      </c>
      <c r="K26" s="4">
        <f t="shared" si="34"/>
        <v>-1.0638328595558875E-14</v>
      </c>
      <c r="L26" s="3">
        <f t="shared" si="11"/>
        <v>3.4412757139434054E-8</v>
      </c>
      <c r="M26" s="16">
        <f t="shared" si="0"/>
        <v>2.9351089072291769E-5</v>
      </c>
    </row>
    <row r="27" spans="5:44" x14ac:dyDescent="0.25">
      <c r="E27" s="4">
        <v>24</v>
      </c>
      <c r="F27" s="4">
        <f t="shared" si="29"/>
        <v>1.7320507764816284</v>
      </c>
      <c r="G27" s="4">
        <f t="shared" si="30"/>
        <v>1.7320508360862732</v>
      </c>
      <c r="H27" s="25">
        <f t="shared" si="31"/>
        <v>1.7320508062839508</v>
      </c>
      <c r="I27" s="4">
        <f t="shared" si="32"/>
        <v>-1.0768938807359518E-7</v>
      </c>
      <c r="J27" s="4">
        <f t="shared" si="33"/>
        <v>-4.4511159202897943E-9</v>
      </c>
      <c r="K27" s="4">
        <f t="shared" si="34"/>
        <v>4.7933794970064542E-16</v>
      </c>
      <c r="L27" s="3">
        <f t="shared" si="11"/>
        <v>1.7206378865776496E-8</v>
      </c>
      <c r="M27" s="16">
        <f t="shared" si="0"/>
        <v>2.9333882188696103E-5</v>
      </c>
    </row>
    <row r="28" spans="5:44" x14ac:dyDescent="0.25">
      <c r="E28" s="4">
        <v>25</v>
      </c>
      <c r="F28" s="4">
        <f t="shared" si="29"/>
        <v>1.7320508062839508</v>
      </c>
      <c r="G28" s="4">
        <f t="shared" si="30"/>
        <v>1.7320508360862732</v>
      </c>
      <c r="H28" s="25">
        <f t="shared" si="31"/>
        <v>1.732050821185112</v>
      </c>
      <c r="I28" s="4">
        <f t="shared" si="32"/>
        <v>-4.4511159202897943E-9</v>
      </c>
      <c r="J28" s="4">
        <f t="shared" si="33"/>
        <v>4.716802060045211E-8</v>
      </c>
      <c r="K28" s="4">
        <f t="shared" si="34"/>
        <v>-2.0995032742322937E-16</v>
      </c>
      <c r="L28" s="3">
        <f t="shared" si="11"/>
        <v>8.6031893588733808E-9</v>
      </c>
      <c r="M28" s="16">
        <f t="shared" si="0"/>
        <v>2.9342485630493936E-5</v>
      </c>
    </row>
    <row r="29" spans="5:44" x14ac:dyDescent="0.25">
      <c r="E29" s="1"/>
      <c r="F29" s="1"/>
      <c r="G29" s="1"/>
      <c r="H29" s="1"/>
      <c r="I29" s="1"/>
      <c r="J29" s="1"/>
      <c r="K29" s="1"/>
    </row>
  </sheetData>
  <mergeCells count="22">
    <mergeCell ref="AR1:AY1"/>
    <mergeCell ref="AK3:AM6"/>
    <mergeCell ref="AK7:AL7"/>
    <mergeCell ref="AT2:AU2"/>
    <mergeCell ref="AN6:AN9"/>
    <mergeCell ref="AB4:AC4"/>
    <mergeCell ref="AB5:AC5"/>
    <mergeCell ref="AB6:AC6"/>
    <mergeCell ref="A1:AP1"/>
    <mergeCell ref="AK2:AM2"/>
    <mergeCell ref="O2:Q2"/>
    <mergeCell ref="O3:Q3"/>
    <mergeCell ref="O4:P4"/>
    <mergeCell ref="O5:P5"/>
    <mergeCell ref="AB2:AD2"/>
    <mergeCell ref="AB3:AD3"/>
    <mergeCell ref="A2:D2"/>
    <mergeCell ref="A3:D3"/>
    <mergeCell ref="C4:D4"/>
    <mergeCell ref="A4:B4"/>
    <mergeCell ref="A5:B5"/>
    <mergeCell ref="C5:D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Mahasiswa</dc:creator>
  <cp:lastModifiedBy>Mahasiswa</cp:lastModifiedBy>
  <dcterms:created xsi:type="dcterms:W3CDTF">2026-09-18T06:06:24Z</dcterms:created>
  <dcterms:modified xsi:type="dcterms:W3CDTF">2026-09-18T08:34:51Z</dcterms:modified>
</cp:coreProperties>
</file>